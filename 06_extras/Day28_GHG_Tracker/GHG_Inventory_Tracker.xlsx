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4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bout_This_Tracker" sheetId="1" state="visible" r:id="rId3"/>
    <sheet name="Data Entry" sheetId="2" state="visible" r:id="rId4"/>
    <sheet name="Emission Factors" sheetId="3" state="visible" r:id="rId5"/>
    <sheet name="Summary Dashboard" sheetId="4" state="visible" r:id="rId6"/>
    <sheet name="Audit Log" sheetId="5" state="visible" r:id="rId7"/>
    <sheet name="BRSR_Alignment" sheetId="6" state="visible" r:id="rId8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<sst xmlns="http://schemas.openxmlformats.org/spreadsheetml/2006/main" count="271" uniqueCount="143">
  <si>
    <t xml:space="preserve">PORTFOLIO EXERCISE — METHODOLOGY DEMONSTRATION</t>
  </si>
  <si>
    <t xml:space="preserve">This GHG Inventory Tracker was built as a portfolio exercise to demonstrate GHG accounting methodology, Excel skills (XLOOKUP, SUMIFS, conditional formatting, data validation), and audit-log discipline. It does not represent a real, audited company.</t>
  </si>
  <si>
    <t xml:space="preserve">What's real and verifiable:</t>
  </si>
  <si>
    <t xml:space="preserve">• Emission factors — DEWA Sustainability Report 2025 (0.3833 kg CO2e/kWh, Dubai grid); EWEC Statistical Report 2024 (0.226 kg CO2e/kWh, Abu Dhabi grid, 2026 forecast); UK DEFRA GHG Conversion Factors 2024; IPCC AR5 GWP-100. Each is cited by source and year in the Emission Factors tab and can be checked against the published report.</t>
  </si>
  <si>
    <t xml:space="preserve">• Methodology — GHG Protocol Corporate Standard structure (Scope 1/2/3, Operational Control boundary), GHG Protocol Data Quality Hierarchy (Measured / Calculated / Estimated), ISO 14064-1-aligned audit logging.</t>
  </si>
  <si>
    <t xml:space="preserve">What's illustrative:</t>
  </si>
  <si>
    <t xml:space="preserve">• The 15 sample rows in the Data Entry tab (site names, monthly kWh / litres / km figures) are practice data used to demonstrate the tracker's formulas and structure. They are not meter readings, invoices, or figures from a real company.</t>
  </si>
  <si>
    <t xml:space="preserve">Say out loud (if asked in an interview):</t>
  </si>
  <si>
    <t xml:space="preserve">Q: Is this real company data?</t>
  </si>
  <si>
    <t xml:space="preserve">A: No — this is a portfolio exercise. The activity data is illustrative, built to demonstrate the tracker's methodology and formulas. The emission factors and GHG Protocol structure are real and correctly sourced — I can walk through exactly where each factor comes from.</t>
  </si>
  <si>
    <t xml:space="preserve">Site Name</t>
  </si>
  <si>
    <t xml:space="preserve">Month</t>
  </si>
  <si>
    <t xml:space="preserve">Year</t>
  </si>
  <si>
    <t xml:space="preserve">Emission Source</t>
  </si>
  <si>
    <t xml:space="preserve">Scope</t>
  </si>
  <si>
    <t xml:space="preserve">Activity Data</t>
  </si>
  <si>
    <t xml:space="preserve">Unit</t>
  </si>
  <si>
    <t xml:space="preserve">Emission Factor</t>
  </si>
  <si>
    <t xml:space="preserve">CO2e (kg)</t>
  </si>
  <si>
    <t xml:space="preserve">Data Quality Flag</t>
  </si>
  <si>
    <t xml:space="preserve">Notes</t>
  </si>
  <si>
    <t xml:space="preserve">Verified (Y/N)</t>
  </si>
  <si>
    <t xml:space="preserve">Dubai Office</t>
  </si>
  <si>
    <t xml:space="preserve">Jan</t>
  </si>
  <si>
    <t xml:space="preserve">Natural gas</t>
  </si>
  <si>
    <t xml:space="preserve">m3</t>
  </si>
  <si>
    <t xml:space="preserve">Good</t>
  </si>
  <si>
    <t xml:space="preserve">Boiler heating</t>
  </si>
  <si>
    <t xml:space="preserve">Y</t>
  </si>
  <si>
    <t xml:space="preserve">Feb</t>
  </si>
  <si>
    <t xml:space="preserve">Mar</t>
  </si>
  <si>
    <t xml:space="preserve">Abu Dhabi Warehouse</t>
  </si>
  <si>
    <t xml:space="preserve">Diesel (generators)</t>
  </si>
  <si>
    <t xml:space="preserve">litres</t>
  </si>
  <si>
    <t xml:space="preserve">Backup generator - monthly test + outage</t>
  </si>
  <si>
    <t xml:space="preserve">Estimated</t>
  </si>
  <si>
    <t xml:space="preserve">Backup generator - monthly test only</t>
  </si>
  <si>
    <t xml:space="preserve">N</t>
  </si>
  <si>
    <t xml:space="preserve">Purchased electricity - Dubai</t>
  </si>
  <si>
    <t xml:space="preserve">kWh</t>
  </si>
  <si>
    <t xml:space="preserve">From energy_data.csv - meter data</t>
  </si>
  <si>
    <t xml:space="preserve">Purchased electricity - Abu Dhabi</t>
  </si>
  <si>
    <t xml:space="preserve">Site-level reading for Abu Dhabi Warehouse, Jan 2026. Emission factor verified (EWEC Statistical Report 2024).</t>
  </si>
  <si>
    <t xml:space="preserve">Aviation - short haul</t>
  </si>
  <si>
    <t xml:space="preserve">passenger-km</t>
  </si>
  <si>
    <t xml:space="preserve">Cat 6 - Abu Dhabi site visit flights</t>
  </si>
  <si>
    <t xml:space="preserve">Aviation - long haul</t>
  </si>
  <si>
    <t xml:space="preserve">Cat 6 - conference travel, distance estimated</t>
  </si>
  <si>
    <t xml:space="preserve">Employee commuting (average car)</t>
  </si>
  <si>
    <t xml:space="preserve">Cat 7 - based on commuter survey</t>
  </si>
  <si>
    <t xml:space="preserve">Missing</t>
  </si>
  <si>
    <t xml:space="preserve">Cat 7 - commuter survey not yet conducted</t>
  </si>
  <si>
    <t xml:space="preserve">Source</t>
  </si>
  <si>
    <t xml:space="preserve">CO2e Unit</t>
  </si>
  <si>
    <t xml:space="preserve">Standard / Source</t>
  </si>
  <si>
    <t xml:space="preserve">kg CO2e/m3</t>
  </si>
  <si>
    <t xml:space="preserve">UK DEFRA GHG Conversion Factors 2024</t>
  </si>
  <si>
    <t xml:space="preserve">Used as default; no UAE-specific factor published for natural gas combustion</t>
  </si>
  <si>
    <t xml:space="preserve">kg CO2e/litre</t>
  </si>
  <si>
    <t xml:space="preserve">Standard diesel combustion factor</t>
  </si>
  <si>
    <t xml:space="preserve">kg CO2e/kWh</t>
  </si>
  <si>
    <t xml:space="preserve">DEWA Sustainability Report 2025</t>
  </si>
  <si>
    <t xml:space="preserve">Official current DEWA grid emission factor</t>
  </si>
  <si>
    <t xml:space="preserve">EWEC Statistical Report 2024</t>
  </si>
  <si>
    <t xml:space="preserve">2026 forecast value - CO2 intensity of power = 226 g/kWh, from EWEC's 'CO2 Intensities (Power and Water) and Total Emissions' table (Forecast column, distinct from confirmed Actuals through 2024). EWEC/ADDC serves Abu Dhabi - a separate utility from DEWA, which serves Dubai. Replaces prior placeholder; verified directly against the published report.</t>
  </si>
  <si>
    <t xml:space="preserve">Purchased electricity - India</t>
  </si>
  <si>
    <t xml:space="preserve">-- (populate from official source)</t>
  </si>
  <si>
    <t xml:space="preserve">Pending verification</t>
  </si>
  <si>
    <t xml:space="preserve">--</t>
  </si>
  <si>
    <t xml:space="preserve">Source not yet confirmed - populate from CEA (Central Electricity Authority) official grid factor when available</t>
  </si>
  <si>
    <t xml:space="preserve">LPG</t>
  </si>
  <si>
    <t xml:space="preserve">Petrol</t>
  </si>
  <si>
    <t xml:space="preserve">kg CO2e/passenger-km</t>
  </si>
  <si>
    <t xml:space="preserve">Economy class, includes radiative forcing</t>
  </si>
  <si>
    <t xml:space="preserve">Average petrol/diesel car - default; refine with local UAE vehicle mix if available</t>
  </si>
  <si>
    <t xml:space="preserve">Refrigerant R410A</t>
  </si>
  <si>
    <t xml:space="preserve">kg</t>
  </si>
  <si>
    <t xml:space="preserve">kg CO2e/kg</t>
  </si>
  <si>
    <t xml:space="preserve">IPCC AR5, GWP-100</t>
  </si>
  <si>
    <t xml:space="preserve">GWP value = kg CO2e per kg of refrigerant leaked</t>
  </si>
  <si>
    <t xml:space="preserve">Refrigerant R32</t>
  </si>
  <si>
    <t xml:space="preserve">GHG Inventory Summary Dashboard</t>
  </si>
  <si>
    <t xml:space="preserve">Total Scope 1 (t CO2e)</t>
  </si>
  <si>
    <t xml:space="preserve">Total by Site (t CO2e)</t>
  </si>
  <si>
    <t xml:space="preserve">Total Scope 2 (t CO2e)</t>
  </si>
  <si>
    <t xml:space="preserve">Total Scope 3 (t CO2e)</t>
  </si>
  <si>
    <t xml:space="preserve">Grand Total (t CO2e)</t>
  </si>
  <si>
    <t xml:space="preserve">% Scope 1</t>
  </si>
  <si>
    <t xml:space="preserve">% Scope 2</t>
  </si>
  <si>
    <t xml:space="preserve">% Scope 3</t>
  </si>
  <si>
    <t xml:space="preserve">Total by Month (t CO2e)</t>
  </si>
  <si>
    <t xml:space="preserve">Total by Quarter (t CO2e)</t>
  </si>
  <si>
    <t xml:space="preserve">CO2e (t)</t>
  </si>
  <si>
    <t xml:space="preserve">Q1 2026</t>
  </si>
  <si>
    <t xml:space="preserve">All changes to emission data must be logged here to maintain audit-ready records consistent with ISO 14064-1 requirements.</t>
  </si>
  <si>
    <t xml:space="preserve">Date</t>
  </si>
  <si>
    <t xml:space="preserve">Changed By</t>
  </si>
  <si>
    <t xml:space="preserve">What Changed</t>
  </si>
  <si>
    <t xml:space="preserve">Old Value</t>
  </si>
  <si>
    <t xml:space="preserve">New Value</t>
  </si>
  <si>
    <t xml:space="preserve">Reason</t>
  </si>
  <si>
    <t xml:space="preserve">2026-02-01</t>
  </si>
  <si>
    <t xml:space="preserve">A. Antony</t>
  </si>
  <si>
    <t xml:space="preserve">Emission factor updated</t>
  </si>
  <si>
    <t xml:space="preserve">0.40 kg CO2e/kWh</t>
  </si>
  <si>
    <t xml:space="preserve">0.3833 kg CO2e/kWh</t>
  </si>
  <si>
    <t xml:space="preserve">DEWA Sustainability Report 2025 published - updated to current official factor</t>
  </si>
  <si>
    <t xml:space="preserve">2026-02-10</t>
  </si>
  <si>
    <t xml:space="preserve">Data correction</t>
  </si>
  <si>
    <t xml:space="preserve">Diesel Feb: 450 litres</t>
  </si>
  <si>
    <t xml:space="preserve">Diesel Feb: 200 litres</t>
  </si>
  <si>
    <t xml:space="preserve">Original entry double-counted a generator test logged separately</t>
  </si>
  <si>
    <t xml:space="preserve">2026-02-15</t>
  </si>
  <si>
    <t xml:space="preserve">New site added</t>
  </si>
  <si>
    <t xml:space="preserve">N/A</t>
  </si>
  <si>
    <t xml:space="preserve">Added second operational site to inventory scope</t>
  </si>
  <si>
    <t xml:space="preserve">2026-08-16</t>
  </si>
  <si>
    <t xml:space="preserve">Pending verification (no factor set)</t>
  </si>
  <si>
    <t xml:space="preserve">0.226 kg CO2e/kWh</t>
  </si>
  <si>
    <t xml:space="preserve">EWEC Statistical Report 2024 confirmed - 2026 forecast CO2 intensity of power = 226 g/kWh, table 'CO2 Intensities (Power and Water) and Total Emissions'. Replaces placeholder pending verification.</t>
  </si>
  <si>
    <t xml:space="preserve">This tab is provided as a reference to illustrate how the tracker can be adapted for different reporting frameworks - not to imply full BRSR compliance.</t>
  </si>
  <si>
    <t xml:space="preserve">GHG Inventory Tracker Field</t>
  </si>
  <si>
    <t xml:space="preserve">BRSR Principle 3 Disclosure</t>
  </si>
  <si>
    <t xml:space="preserve">Applicable Tab</t>
  </si>
  <si>
    <t xml:space="preserve">Scope 1 emissions (Data Entry, Scope=1, summed)</t>
  </si>
  <si>
    <t xml:space="preserve">Total Scope 1 GHG emissions</t>
  </si>
  <si>
    <t xml:space="preserve">Data Entry / Summary Dashboard</t>
  </si>
  <si>
    <t xml:space="preserve">Maps directly to BRSR Principle 3, Essential Indicator on GHG emissions</t>
  </si>
  <si>
    <t xml:space="preserve">Scope 2 emissions (Data Entry, Scope=2, summed)</t>
  </si>
  <si>
    <t xml:space="preserve">Total Scope 2 GHG emissions</t>
  </si>
  <si>
    <t xml:space="preserve">Activity Data + Unit columns</t>
  </si>
  <si>
    <t xml:space="preserve">Energy consumption disclosure</t>
  </si>
  <si>
    <t xml:space="preserve">Data Entry</t>
  </si>
  <si>
    <t xml:space="preserve">Supports BRSR energy consumption reporting by source</t>
  </si>
  <si>
    <t xml:space="preserve">Data Quality Flag + Verified columns</t>
  </si>
  <si>
    <t xml:space="preserve">Supporting documentation / assurance</t>
  </si>
  <si>
    <t xml:space="preserve">Demonstrates data quality and verification status expected for BRSR assurance</t>
  </si>
  <si>
    <t xml:space="preserve">Audit Log tab</t>
  </si>
  <si>
    <t xml:space="preserve">Basis of calculation / methodology disclosure</t>
  </si>
  <si>
    <t xml:space="preserve">Audit Log</t>
  </si>
  <si>
    <t xml:space="preserve">Supports the disclosure of methodology changes required for consistent year-on-year reporting</t>
  </si>
  <si>
    <t xml:space="preserve">A note on compatibility:</t>
  </si>
  <si>
    <t xml:space="preserve">• The Emission Factors lookup in the Data Entry tab uses XLOOKUP, which opens and calculates correctly in Excel and Excel Online. Older, non-Microsoft spreadsheet software may not evaluate this function.</t>
  </si>
</sst>
</file>

<file path=xl/styles.xml><?xml version="1.0" encoding="utf-8"?>
<styleSheet xmlns="http://schemas.openxmlformats.org/spreadsheetml/2006/main">
  <numFmts count="3">
    <numFmt numFmtId="164" formatCode="General"/>
    <numFmt numFmtId="165" formatCode="#,##0.00"/>
    <numFmt numFmtId="166" formatCode="0.0%"/>
  </numFmts>
  <fonts count="11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FFFFFF"/>
      <name val="Arial"/>
      <family val="0"/>
      <charset val="1"/>
    </font>
    <font>
      <sz val="10"/>
      <name val="Arial"/>
      <family val="0"/>
      <charset val="1"/>
    </font>
    <font>
      <b val="true"/>
      <sz val="10"/>
      <name val="Arial"/>
      <family val="0"/>
      <charset val="1"/>
    </font>
    <font>
      <b val="true"/>
      <sz val="14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i val="true"/>
      <sz val="9"/>
      <color rgb="FF666666"/>
      <name val="Arial"/>
      <family val="0"/>
      <charset val="1"/>
    </font>
  </fonts>
  <fills count="3">
    <fill>
      <patternFill patternType="none"/>
    </fill>
    <fill>
      <patternFill patternType="gray125"/>
    </fill>
    <fill>
      <patternFill patternType="solid">
        <fgColor rgb="FF2E75B6"/>
        <bgColor rgb="FF4A7EBB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B0B0B0"/>
      </left>
      <right style="thin">
        <color rgb="FFB0B0B0"/>
      </right>
      <top style="thin">
        <color rgb="FFB0B0B0"/>
      </top>
      <bottom style="thin">
        <color rgb="FFB0B0B0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16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left" vertical="center" textRotation="0" wrapText="true" indent="0" shrinkToFit="false"/>
      <protection locked="true" hidden="false"/>
    </xf>
    <xf numFmtId="164" fontId="5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6" fillId="0" borderId="0" xfId="0" applyFont="true" applyBorder="false" applyAlignment="true" applyProtection="false">
      <alignment horizontal="left" vertical="top" textRotation="0" wrapText="tru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5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6" fontId="5" fillId="0" borderId="1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4" fillId="2" borderId="0" xfId="0" applyFont="true" applyBorder="false" applyAlignment="true" applyProtection="false">
      <alignment horizontal="general" vertical="bottom" textRotation="0" wrapText="false" indent="0" shrinkToFit="false"/>
      <protection locked="true" hidden="false"/>
    </xf>
    <xf numFmtId="165" fontId="0" fillId="0" borderId="1" xfId="0" applyFont="fals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false">
      <alignment horizontal="general" vertical="bottom" textRotation="0" wrapText="false" indent="0" shrinkToFit="false"/>
      <protection locked="true" hidden="false"/>
    </xf>
    <xf numFmtId="164" fontId="5" fillId="0" borderId="1" xfId="0" applyFont="true" applyBorder="true" applyAlignment="true" applyProtection="false">
      <alignment horizontal="general" vertical="top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2"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006100"/>
      <rgbColor rgb="FF000080"/>
      <rgbColor rgb="FF808000"/>
      <rgbColor rgb="FF800080"/>
      <rgbColor rgb="FF008080"/>
      <rgbColor rgb="FFB0B0B0"/>
      <rgbColor rgb="FF878787"/>
      <rgbColor rgb="FF9999FF"/>
      <rgbColor rgb="FFC0504D"/>
      <rgbColor rgb="FFFFFFCC"/>
      <rgbColor rgb="FFCCFFFF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BBB59"/>
      <rgbColor rgb="FFFFCC00"/>
      <rgbColor rgb="FFFF9900"/>
      <rgbColor rgb="FFFF6600"/>
      <rgbColor rgb="FF666666"/>
      <rgbColor rgb="FF4F81BD"/>
      <rgbColor rgb="FF003366"/>
      <rgbColor rgb="FF4A7EBB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9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CO2e by Scope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pieChart>
        <c:varyColors val="1"/>
        <c:ser>
          <c:idx val="0"/>
          <c:order val="0"/>
          <c:spPr>
            <a:solidFill>
              <a:srgbClr val="4f81bd"/>
            </a:solidFill>
            <a:ln w="0">
              <a:noFill/>
            </a:ln>
          </c:spPr>
          <c:explosion val="0"/>
          <c:dPt>
            <c:idx val="0"/>
            <c:spPr>
              <a:solidFill>
                <a:srgbClr val="4f81bd"/>
              </a:solidFill>
              <a:ln w="0">
                <a:noFill/>
              </a:ln>
            </c:spPr>
          </c:dPt>
          <c:dPt>
            <c:idx val="1"/>
            <c:spPr>
              <a:solidFill>
                <a:srgbClr val="c0504d"/>
              </a:solidFill>
              <a:ln w="0">
                <a:noFill/>
              </a:ln>
            </c:spPr>
          </c:dPt>
          <c:dPt>
            <c:idx val="2"/>
            <c:spPr>
              <a:solidFill>
                <a:srgbClr val="9bbb59"/>
              </a:solidFill>
              <a:ln w="0">
                <a:noFill/>
              </a:ln>
            </c:spPr>
          </c:dPt>
          <c:dLbls>
            <c:dLbl>
              <c:idx val="0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1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dLbl>
              <c:idx val="2"/>
              <c:txPr>
                <a:bodyPr wrap="square"/>
                <a:lstStyle/>
                <a:p>
                  <a:pPr>
                    <a:defRPr b="0" sz="1000" spc="-1" strike="noStrike">
                      <a:solidFill>
                        <a:srgbClr val="000000"/>
                      </a:solidFill>
                      <a:latin typeface="Arial"/>
                    </a:defRPr>
                  </a:pPr>
                </a:p>
              </c:txPr>
              <c:dLblPos val="bestFit"/>
              <c:showLegendKey val="0"/>
              <c:showVal val="0"/>
              <c:showCatName val="0"/>
              <c:showSerName val="0"/>
              <c:showPercent val="0"/>
              <c:separator>; </c:separator>
            </c:dLbl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bestFit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</c:dLbls>
          <c:cat>
            <c:strRef>
              <c:f>'Summary Dashboard'!$A$3:$A$5</c:f>
              <c:strCache>
                <c:ptCount val="3"/>
                <c:pt idx="0">
                  <c:v>Total Scope 1 (t CO2e)</c:v>
                </c:pt>
                <c:pt idx="1">
                  <c:v>Total Scope 2 (t CO2e)</c:v>
                </c:pt>
                <c:pt idx="2">
                  <c:v>Total Scope 3 (t CO2e)</c:v>
                </c:pt>
              </c:strCache>
            </c:strRef>
          </c:cat>
          <c:val>
            <c:numRef>
              <c:f>'Summary Dashboard'!$B$3:$B$5</c:f>
              <c:numCache>
                <c:formatCode>#,##0.00</c:formatCode>
                <c:ptCount val="3"/>
                <c:pt idx="0">
                  <c:v>6.1632</c:v>
                </c:pt>
                <c:pt idx="1">
                  <c:v>78.1196332</c:v>
                </c:pt>
                <c:pt idx="2">
                  <c:v>6.4779</c:v>
                </c:pt>
              </c:numCache>
            </c:numRef>
          </c:val>
        </c:ser>
        <c:firstSliceAng val="0"/>
      </c:pieChart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Monthly CO2e Trend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'Summary Dashboard'!B13</c:f>
              <c:strCache>
                <c:ptCount val="1"/>
                <c:pt idx="0">
                  <c:v>CO2e (t)</c:v>
                </c:pt>
              </c:strCache>
            </c:strRef>
          </c:tx>
          <c:spPr>
            <a:solidFill>
              <a:srgbClr val="4a7ebb"/>
            </a:solidFill>
            <a:ln w="28440">
              <a:solidFill>
                <a:srgbClr val="4a7ebb"/>
              </a:solidFill>
              <a:round/>
            </a:ln>
          </c:spPr>
          <c:marker>
            <c:symbol val="none"/>
          </c:marker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r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Dashboard'!$A$14:$A$16</c:f>
              <c:strCache>
                <c:ptCount val="3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</c:strCache>
            </c:strRef>
          </c:cat>
          <c:val>
            <c:numRef>
              <c:f>'Summary Dashboard'!$B$14:$B$16</c:f>
              <c:numCache>
                <c:formatCode>#,##0.00</c:formatCode>
                <c:ptCount val="3"/>
                <c:pt idx="0">
                  <c:v>37.9818005</c:v>
                </c:pt>
                <c:pt idx="1">
                  <c:v>28.8039459</c:v>
                </c:pt>
                <c:pt idx="2">
                  <c:v>23.9749868</c:v>
                </c:pt>
              </c:numCache>
            </c:numRef>
          </c:val>
          <c:smooth val="1"/>
        </c:ser>
        <c:hiLowLines>
          <c:spPr>
            <a:ln w="0">
              <a:noFill/>
            </a:ln>
          </c:spPr>
        </c:hiLowLines>
        <c:marker val="0"/>
        <c:axId val="8516661"/>
        <c:axId val="53525467"/>
      </c:lineChart>
      <c:catAx>
        <c:axId val="8516661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3525467"/>
        <c:crosses val="autoZero"/>
        <c:auto val="1"/>
        <c:lblAlgn val="ctr"/>
        <c:lblOffset val="100"/>
        <c:noMultiLvlLbl val="0"/>
      </c:catAx>
      <c:valAx>
        <c:axId val="53525467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16661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CO2e by Site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"CO2e (t)"</c:f>
              <c:strCache>
                <c:ptCount val="1"/>
                <c:pt idx="0">
                  <c:v>CO2e (t)</c:v>
                </c:pt>
              </c:strCache>
            </c:strRef>
          </c:tx>
          <c:spPr>
            <a:solidFill>
              <a:srgbClr val="4f81bd"/>
            </a:solidFill>
            <a:ln w="0">
              <a:noFill/>
            </a:ln>
          </c:spPr>
          <c:invertIfNegative val="0"/>
          <c:dLbls>
            <c:txPr>
              <a:bodyPr wrap="square"/>
              <a:lstStyle/>
              <a:p>
                <a:pPr>
                  <a:defRPr b="0" sz="1000" spc="-1" strike="noStrike">
                    <a:solidFill>
                      <a:srgbClr val="000000"/>
                    </a:solidFill>
                    <a:latin typeface="Arial"/>
                  </a:defRPr>
                </a:pPr>
              </a:p>
            </c:txPr>
            <c:dLblPos val="outEnd"/>
            <c:showLegendKey val="0"/>
            <c:showVal val="0"/>
            <c:showCatName val="0"/>
            <c:showSerName val="0"/>
            <c:showPercent val="0"/>
            <c:separator>;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'Summary Dashboard'!$D$4:$D$5</c:f>
              <c:strCache>
                <c:ptCount val="2"/>
                <c:pt idx="0">
                  <c:v>Dubai Office</c:v>
                </c:pt>
                <c:pt idx="1">
                  <c:v>Abu Dhabi Warehouse</c:v>
                </c:pt>
              </c:strCache>
            </c:strRef>
          </c:cat>
          <c:val>
            <c:numRef>
              <c:f>'Summary Dashboard'!$E$4:$E$5</c:f>
              <c:numCache>
                <c:formatCode>#,##0.00</c:formatCode>
                <c:ptCount val="2"/>
                <c:pt idx="0">
                  <c:v>79.9835332</c:v>
                </c:pt>
                <c:pt idx="1">
                  <c:v>10.7772</c:v>
                </c:pt>
              </c:numCache>
            </c:numRef>
          </c:val>
        </c:ser>
        <c:gapWidth val="150"/>
        <c:overlap val="0"/>
        <c:axId val="54880520"/>
        <c:axId val="30305365"/>
      </c:barChart>
      <c:catAx>
        <c:axId val="54880520"/>
        <c:scaling>
          <c:orientation val="minMax"/>
        </c:scaling>
        <c:delete val="0"/>
        <c:axPos val="b"/>
        <c:numFmt formatCode="General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30305365"/>
        <c:crosses val="autoZero"/>
        <c:auto val="1"/>
        <c:lblAlgn val="ctr"/>
        <c:lblOffset val="100"/>
        <c:noMultiLvlLbl val="0"/>
      </c:catAx>
      <c:valAx>
        <c:axId val="3030536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numFmt formatCode="#,##0.0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4880520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<Relationship Id="rId3" Type="http://schemas.openxmlformats.org/officeDocument/2006/relationships/chart" Target="../charts/chart3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6</xdr:col>
      <xdr:colOff>0</xdr:colOff>
      <xdr:row>1</xdr:row>
      <xdr:rowOff>160560</xdr:rowOff>
    </xdr:from>
    <xdr:to>
      <xdr:col>11</xdr:col>
      <xdr:colOff>539640</xdr:colOff>
      <xdr:row>15</xdr:row>
      <xdr:rowOff>10800</xdr:rowOff>
    </xdr:to>
    <xdr:graphicFrame>
      <xdr:nvGraphicFramePr>
        <xdr:cNvPr id="0" name="Chart 1"/>
        <xdr:cNvGraphicFramePr/>
      </xdr:nvGraphicFramePr>
      <xdr:xfrm>
        <a:off x="5968440" y="379800"/>
        <a:ext cx="3597120" cy="251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6</xdr:col>
      <xdr:colOff>0</xdr:colOff>
      <xdr:row>16</xdr:row>
      <xdr:rowOff>160560</xdr:rowOff>
    </xdr:from>
    <xdr:to>
      <xdr:col>11</xdr:col>
      <xdr:colOff>539640</xdr:colOff>
      <xdr:row>30</xdr:row>
      <xdr:rowOff>10800</xdr:rowOff>
    </xdr:to>
    <xdr:graphicFrame>
      <xdr:nvGraphicFramePr>
        <xdr:cNvPr id="1" name="Chart 2"/>
        <xdr:cNvGraphicFramePr/>
      </xdr:nvGraphicFramePr>
      <xdr:xfrm>
        <a:off x="5968440" y="3237120"/>
        <a:ext cx="3597120" cy="251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 editAs="oneCell">
    <xdr:from>
      <xdr:col>6</xdr:col>
      <xdr:colOff>0</xdr:colOff>
      <xdr:row>31</xdr:row>
      <xdr:rowOff>160560</xdr:rowOff>
    </xdr:from>
    <xdr:to>
      <xdr:col>11</xdr:col>
      <xdr:colOff>539640</xdr:colOff>
      <xdr:row>45</xdr:row>
      <xdr:rowOff>10800</xdr:rowOff>
    </xdr:to>
    <xdr:graphicFrame>
      <xdr:nvGraphicFramePr>
        <xdr:cNvPr id="2" name="Chart 3"/>
        <xdr:cNvGraphicFramePr/>
      </xdr:nvGraphicFramePr>
      <xdr:xfrm>
        <a:off x="5968440" y="6094800"/>
        <a:ext cx="3597120" cy="251712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4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true"/>
  </sheetPr>
  <dimension ref="A1:A17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95"/>
  </cols>
  <sheetData>
    <row r="1" customFormat="false" ht="21.75" hidden="false" customHeight="true" outlineLevel="0" collapsed="false">
      <c r="A1" s="2" t="s">
        <v>0</v>
      </c>
    </row>
    <row r="3" customFormat="false" ht="45" hidden="false" customHeight="true" outlineLevel="0" collapsed="false">
      <c r="A3" s="3" t="s">
        <v>1</v>
      </c>
    </row>
    <row r="5" customFormat="false" ht="15" hidden="false" customHeight="true" outlineLevel="0" collapsed="false">
      <c r="A5" s="4" t="s">
        <v>2</v>
      </c>
    </row>
    <row r="6" customFormat="false" ht="60" hidden="false" customHeight="true" outlineLevel="0" collapsed="false">
      <c r="A6" s="3" t="s">
        <v>3</v>
      </c>
    </row>
    <row r="7" customFormat="false" ht="30" hidden="false" customHeight="true" outlineLevel="0" collapsed="false">
      <c r="A7" s="3" t="s">
        <v>4</v>
      </c>
    </row>
    <row r="9" customFormat="false" ht="15" hidden="false" customHeight="true" outlineLevel="0" collapsed="false">
      <c r="A9" s="4" t="s">
        <v>5</v>
      </c>
    </row>
    <row r="10" customFormat="false" ht="45" hidden="false" customHeight="true" outlineLevel="0" collapsed="false">
      <c r="A10" s="3" t="s">
        <v>6</v>
      </c>
    </row>
    <row r="12" customFormat="false" ht="15" hidden="false" customHeight="true" outlineLevel="0" collapsed="false">
      <c r="A12" s="4" t="s">
        <v>7</v>
      </c>
    </row>
    <row r="13" customFormat="false" ht="15" hidden="false" customHeight="true" outlineLevel="0" collapsed="false">
      <c r="A13" s="3" t="s">
        <v>8</v>
      </c>
    </row>
    <row r="14" customFormat="false" ht="45" hidden="false" customHeight="true" outlineLevel="0" collapsed="false">
      <c r="A14" s="3" t="s">
        <v>9</v>
      </c>
    </row>
    <row r="16" customFormat="false" ht="15" hidden="false" customHeight="true" outlineLevel="0" collapsed="false">
      <c r="A16" s="4" t="s">
        <v>141</v>
      </c>
    </row>
    <row r="17" customFormat="false" ht="30" hidden="false" customHeight="true" outlineLevel="0" collapsed="false">
      <c r="A17" s="3" t="s">
        <v>142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0" pageOrder="downThenOver" orientation="landscape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6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1" topLeftCell="A2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0"/>
    <col collapsed="false" customWidth="true" hidden="false" outlineLevel="0" max="2" min="2" style="1" width="8"/>
    <col collapsed="false" customWidth="true" hidden="false" outlineLevel="0" max="3" min="3" style="1" width="7"/>
    <col collapsed="false" customWidth="true" hidden="false" outlineLevel="0" max="4" min="4" style="1" width="26"/>
    <col collapsed="false" customWidth="true" hidden="false" outlineLevel="0" max="5" min="5" style="1" width="7"/>
    <col collapsed="false" customWidth="true" hidden="false" outlineLevel="0" max="6" min="6" style="1" width="13"/>
    <col collapsed="false" customWidth="true" hidden="false" outlineLevel="0" max="7" min="7" style="1" width="12"/>
    <col collapsed="false" customWidth="true" hidden="false" outlineLevel="0" max="8" min="8" style="1" width="13"/>
    <col collapsed="false" customWidth="true" hidden="false" outlineLevel="0" max="9" min="9" style="1" width="12"/>
    <col collapsed="false" customWidth="true" hidden="false" outlineLevel="0" max="10" min="10" style="1" width="15"/>
    <col collapsed="false" customWidth="true" hidden="false" outlineLevel="0" max="11" min="11" style="1" width="38"/>
    <col collapsed="false" customWidth="true" hidden="false" outlineLevel="0" max="12" min="12" style="1" width="12"/>
  </cols>
  <sheetData>
    <row r="1" customFormat="false" ht="30" hidden="false" customHeight="true" outlineLevel="0" collapsed="false">
      <c r="A1" s="5" t="s">
        <v>10</v>
      </c>
      <c r="B1" s="5" t="s">
        <v>11</v>
      </c>
      <c r="C1" s="5" t="s">
        <v>12</v>
      </c>
      <c r="D1" s="5" t="s">
        <v>13</v>
      </c>
      <c r="E1" s="5" t="s">
        <v>14</v>
      </c>
      <c r="F1" s="5" t="s">
        <v>15</v>
      </c>
      <c r="G1" s="5" t="s">
        <v>16</v>
      </c>
      <c r="H1" s="5" t="s">
        <v>17</v>
      </c>
      <c r="I1" s="5" t="s">
        <v>18</v>
      </c>
      <c r="J1" s="5" t="s">
        <v>19</v>
      </c>
      <c r="K1" s="5" t="s">
        <v>20</v>
      </c>
      <c r="L1" s="5" t="s">
        <v>21</v>
      </c>
    </row>
    <row r="2" customFormat="false" ht="15" hidden="false" customHeight="true" outlineLevel="0" collapsed="false">
      <c r="A2" s="6" t="s">
        <v>22</v>
      </c>
      <c r="B2" s="6" t="s">
        <v>23</v>
      </c>
      <c r="C2" s="6" t="n">
        <v>2026</v>
      </c>
      <c r="D2" s="6" t="s">
        <v>24</v>
      </c>
      <c r="E2" s="6" t="n">
        <v>1</v>
      </c>
      <c r="F2" s="6" t="n">
        <v>450</v>
      </c>
      <c r="G2" s="6" t="s">
        <v>25</v>
      </c>
      <c r="H2" s="6" t="n">
        <f aca="false">XLOOKUP(D2,'Emission Factors'!$A$2:$A$13,'Emission Factors'!$C$2:$C$13,"Not found")</f>
        <v>2.02</v>
      </c>
      <c r="I2" s="6" t="n">
        <f aca="false">IFERROR(F2*H2,"Pending factor")</f>
        <v>909</v>
      </c>
      <c r="J2" s="6" t="s">
        <v>26</v>
      </c>
      <c r="K2" s="6" t="s">
        <v>27</v>
      </c>
      <c r="L2" s="6" t="s">
        <v>28</v>
      </c>
    </row>
    <row r="3" customFormat="false" ht="15" hidden="false" customHeight="true" outlineLevel="0" collapsed="false">
      <c r="A3" s="6" t="s">
        <v>22</v>
      </c>
      <c r="B3" s="6" t="s">
        <v>29</v>
      </c>
      <c r="C3" s="6" t="n">
        <v>2026</v>
      </c>
      <c r="D3" s="6" t="s">
        <v>24</v>
      </c>
      <c r="E3" s="6" t="n">
        <v>1</v>
      </c>
      <c r="F3" s="6" t="n">
        <v>420</v>
      </c>
      <c r="G3" s="6" t="s">
        <v>25</v>
      </c>
      <c r="H3" s="6" t="n">
        <f aca="false">XLOOKUP(D3,'Emission Factors'!$A$2:$A$13,'Emission Factors'!$C$2:$C$13,"Not found")</f>
        <v>2.02</v>
      </c>
      <c r="I3" s="6" t="n">
        <f aca="false">IFERROR(F3*H3,"Pending factor")</f>
        <v>848.4</v>
      </c>
      <c r="J3" s="6" t="s">
        <v>26</v>
      </c>
      <c r="K3" s="6" t="s">
        <v>27</v>
      </c>
      <c r="L3" s="6" t="s">
        <v>28</v>
      </c>
    </row>
    <row r="4" customFormat="false" ht="15" hidden="false" customHeight="true" outlineLevel="0" collapsed="false">
      <c r="A4" s="6" t="s">
        <v>22</v>
      </c>
      <c r="B4" s="6" t="s">
        <v>30</v>
      </c>
      <c r="C4" s="6" t="n">
        <v>2026</v>
      </c>
      <c r="D4" s="6" t="s">
        <v>24</v>
      </c>
      <c r="E4" s="6" t="n">
        <v>1</v>
      </c>
      <c r="F4" s="6" t="n">
        <v>390</v>
      </c>
      <c r="G4" s="6" t="s">
        <v>25</v>
      </c>
      <c r="H4" s="6" t="n">
        <f aca="false">XLOOKUP(D4,'Emission Factors'!$A$2:$A$13,'Emission Factors'!$C$2:$C$13,"Not found")</f>
        <v>2.02</v>
      </c>
      <c r="I4" s="6" t="n">
        <f aca="false">IFERROR(F4*H4,"Pending factor")</f>
        <v>787.8</v>
      </c>
      <c r="J4" s="6" t="s">
        <v>26</v>
      </c>
      <c r="K4" s="6" t="s">
        <v>27</v>
      </c>
      <c r="L4" s="6" t="s">
        <v>28</v>
      </c>
    </row>
    <row r="5" customFormat="false" ht="15" hidden="false" customHeight="true" outlineLevel="0" collapsed="false">
      <c r="A5" s="6" t="s">
        <v>31</v>
      </c>
      <c r="B5" s="6" t="s">
        <v>23</v>
      </c>
      <c r="C5" s="6" t="n">
        <v>2026</v>
      </c>
      <c r="D5" s="6" t="s">
        <v>32</v>
      </c>
      <c r="E5" s="6" t="n">
        <v>1</v>
      </c>
      <c r="F5" s="6" t="n">
        <v>850</v>
      </c>
      <c r="G5" s="6" t="s">
        <v>33</v>
      </c>
      <c r="H5" s="6" t="n">
        <f aca="false">XLOOKUP(D5,'Emission Factors'!$A$2:$A$13,'Emission Factors'!$C$2:$C$13,"Not found")</f>
        <v>2.68</v>
      </c>
      <c r="I5" s="6" t="n">
        <f aca="false">IFERROR(F5*H5,"Pending factor")</f>
        <v>2278</v>
      </c>
      <c r="J5" s="6" t="s">
        <v>26</v>
      </c>
      <c r="K5" s="6" t="s">
        <v>34</v>
      </c>
      <c r="L5" s="6" t="s">
        <v>28</v>
      </c>
    </row>
    <row r="6" customFormat="false" ht="15" hidden="false" customHeight="true" outlineLevel="0" collapsed="false">
      <c r="A6" s="6" t="s">
        <v>31</v>
      </c>
      <c r="B6" s="6" t="s">
        <v>29</v>
      </c>
      <c r="C6" s="6" t="n">
        <v>2026</v>
      </c>
      <c r="D6" s="6" t="s">
        <v>32</v>
      </c>
      <c r="E6" s="6" t="n">
        <v>1</v>
      </c>
      <c r="F6" s="6" t="n">
        <v>200</v>
      </c>
      <c r="G6" s="6" t="s">
        <v>33</v>
      </c>
      <c r="H6" s="6" t="n">
        <f aca="false">XLOOKUP(D6,'Emission Factors'!$A$2:$A$13,'Emission Factors'!$C$2:$C$13,"Not found")</f>
        <v>2.68</v>
      </c>
      <c r="I6" s="6" t="n">
        <f aca="false">IFERROR(F6*H6,"Pending factor")</f>
        <v>536</v>
      </c>
      <c r="J6" s="6" t="s">
        <v>35</v>
      </c>
      <c r="K6" s="6" t="s">
        <v>36</v>
      </c>
      <c r="L6" s="6" t="s">
        <v>37</v>
      </c>
    </row>
    <row r="7" customFormat="false" ht="15" hidden="false" customHeight="true" outlineLevel="0" collapsed="false">
      <c r="A7" s="6" t="s">
        <v>31</v>
      </c>
      <c r="B7" s="6" t="s">
        <v>30</v>
      </c>
      <c r="C7" s="6" t="n">
        <v>2026</v>
      </c>
      <c r="D7" s="6" t="s">
        <v>32</v>
      </c>
      <c r="E7" s="6" t="n">
        <v>1</v>
      </c>
      <c r="F7" s="6" t="n">
        <v>300</v>
      </c>
      <c r="G7" s="6" t="s">
        <v>33</v>
      </c>
      <c r="H7" s="6" t="n">
        <f aca="false">XLOOKUP(D7,'Emission Factors'!$A$2:$A$13,'Emission Factors'!$C$2:$C$13,"Not found")</f>
        <v>2.68</v>
      </c>
      <c r="I7" s="6" t="n">
        <f aca="false">IFERROR(F7*H7,"Pending factor")</f>
        <v>804</v>
      </c>
      <c r="J7" s="6" t="s">
        <v>26</v>
      </c>
      <c r="K7" s="6" t="s">
        <v>36</v>
      </c>
      <c r="L7" s="6" t="s">
        <v>28</v>
      </c>
    </row>
    <row r="8" customFormat="false" ht="15" hidden="false" customHeight="true" outlineLevel="0" collapsed="false">
      <c r="A8" s="6" t="s">
        <v>22</v>
      </c>
      <c r="B8" s="6" t="s">
        <v>23</v>
      </c>
      <c r="C8" s="6" t="n">
        <v>2026</v>
      </c>
      <c r="D8" s="6" t="s">
        <v>38</v>
      </c>
      <c r="E8" s="6" t="n">
        <v>2</v>
      </c>
      <c r="F8" s="6" t="n">
        <v>65485</v>
      </c>
      <c r="G8" s="6" t="s">
        <v>39</v>
      </c>
      <c r="H8" s="6" t="n">
        <f aca="false">XLOOKUP(D8,'Emission Factors'!$A$2:$A$13,'Emission Factors'!$C$2:$C$13,"Not found")</f>
        <v>0.3833</v>
      </c>
      <c r="I8" s="6" t="n">
        <f aca="false">IFERROR(F8*H8,"Pending factor")</f>
        <v>25100.4005</v>
      </c>
      <c r="J8" s="6" t="s">
        <v>26</v>
      </c>
      <c r="K8" s="6" t="s">
        <v>40</v>
      </c>
      <c r="L8" s="6" t="s">
        <v>28</v>
      </c>
    </row>
    <row r="9" customFormat="false" ht="15" hidden="false" customHeight="true" outlineLevel="0" collapsed="false">
      <c r="A9" s="6" t="s">
        <v>22</v>
      </c>
      <c r="B9" s="6" t="s">
        <v>29</v>
      </c>
      <c r="C9" s="6" t="n">
        <v>2026</v>
      </c>
      <c r="D9" s="6" t="s">
        <v>38</v>
      </c>
      <c r="E9" s="6" t="n">
        <v>2</v>
      </c>
      <c r="F9" s="6" t="n">
        <v>63123</v>
      </c>
      <c r="G9" s="6" t="s">
        <v>39</v>
      </c>
      <c r="H9" s="6" t="n">
        <f aca="false">XLOOKUP(D9,'Emission Factors'!$A$2:$A$13,'Emission Factors'!$C$2:$C$13,"Not found")</f>
        <v>0.3833</v>
      </c>
      <c r="I9" s="6" t="n">
        <f aca="false">IFERROR(F9*H9,"Pending factor")</f>
        <v>24195.0459</v>
      </c>
      <c r="J9" s="6" t="s">
        <v>26</v>
      </c>
      <c r="K9" s="6" t="s">
        <v>40</v>
      </c>
      <c r="L9" s="6" t="s">
        <v>28</v>
      </c>
    </row>
    <row r="10" customFormat="false" ht="15" hidden="false" customHeight="true" outlineLevel="0" collapsed="false">
      <c r="A10" s="6" t="s">
        <v>22</v>
      </c>
      <c r="B10" s="6" t="s">
        <v>30</v>
      </c>
      <c r="C10" s="6" t="n">
        <v>2026</v>
      </c>
      <c r="D10" s="6" t="s">
        <v>38</v>
      </c>
      <c r="E10" s="6" t="n">
        <v>2</v>
      </c>
      <c r="F10" s="6" t="n">
        <v>58396</v>
      </c>
      <c r="G10" s="6" t="s">
        <v>39</v>
      </c>
      <c r="H10" s="6" t="n">
        <f aca="false">XLOOKUP(D10,'Emission Factors'!$A$2:$A$13,'Emission Factors'!$C$2:$C$13,"Not found")</f>
        <v>0.3833</v>
      </c>
      <c r="I10" s="6" t="n">
        <f aca="false">IFERROR(F10*H10,"Pending factor")</f>
        <v>22383.1868</v>
      </c>
      <c r="J10" s="6" t="s">
        <v>26</v>
      </c>
      <c r="K10" s="6" t="s">
        <v>40</v>
      </c>
      <c r="L10" s="6" t="s">
        <v>28</v>
      </c>
    </row>
    <row r="11" customFormat="false" ht="15" hidden="false" customHeight="true" outlineLevel="0" collapsed="false">
      <c r="A11" s="6" t="s">
        <v>31</v>
      </c>
      <c r="B11" s="6" t="s">
        <v>23</v>
      </c>
      <c r="C11" s="6" t="n">
        <v>2026</v>
      </c>
      <c r="D11" s="6" t="s">
        <v>41</v>
      </c>
      <c r="E11" s="6" t="n">
        <v>2</v>
      </c>
      <c r="F11" s="6" t="n">
        <v>28500</v>
      </c>
      <c r="G11" s="6" t="s">
        <v>39</v>
      </c>
      <c r="H11" s="6" t="n">
        <f aca="false">XLOOKUP(D11,'Emission Factors'!$A$2:$A$13,'Emission Factors'!$C$2:$C$13,"Not found")</f>
        <v>0.226</v>
      </c>
      <c r="I11" s="6" t="n">
        <f aca="false">IFERROR(F11*H11,"Pending factor")</f>
        <v>6441</v>
      </c>
      <c r="J11" s="6" t="s">
        <v>26</v>
      </c>
      <c r="K11" s="6" t="s">
        <v>42</v>
      </c>
      <c r="L11" s="6" t="s">
        <v>28</v>
      </c>
    </row>
    <row r="12" customFormat="false" ht="15" hidden="false" customHeight="true" outlineLevel="0" collapsed="false">
      <c r="A12" s="6" t="s">
        <v>22</v>
      </c>
      <c r="B12" s="6" t="s">
        <v>23</v>
      </c>
      <c r="C12" s="6" t="n">
        <v>2026</v>
      </c>
      <c r="D12" s="6" t="s">
        <v>43</v>
      </c>
      <c r="E12" s="6" t="n">
        <v>3</v>
      </c>
      <c r="F12" s="6" t="n">
        <v>3200</v>
      </c>
      <c r="G12" s="6" t="s">
        <v>44</v>
      </c>
      <c r="H12" s="6" t="n">
        <f aca="false">XLOOKUP(D12,'Emission Factors'!$A$2:$A$13,'Emission Factors'!$C$2:$C$13,"Not found")</f>
        <v>0.151</v>
      </c>
      <c r="I12" s="6" t="n">
        <f aca="false">IFERROR(F12*H12,"Pending factor")</f>
        <v>483.2</v>
      </c>
      <c r="J12" s="6" t="s">
        <v>26</v>
      </c>
      <c r="K12" s="6" t="s">
        <v>45</v>
      </c>
      <c r="L12" s="6" t="s">
        <v>28</v>
      </c>
    </row>
    <row r="13" customFormat="false" ht="15" hidden="false" customHeight="true" outlineLevel="0" collapsed="false">
      <c r="A13" s="6" t="s">
        <v>22</v>
      </c>
      <c r="B13" s="6" t="s">
        <v>29</v>
      </c>
      <c r="C13" s="6" t="n">
        <v>2026</v>
      </c>
      <c r="D13" s="6" t="s">
        <v>46</v>
      </c>
      <c r="E13" s="6" t="n">
        <v>3</v>
      </c>
      <c r="F13" s="6" t="n">
        <v>8500</v>
      </c>
      <c r="G13" s="6" t="s">
        <v>44</v>
      </c>
      <c r="H13" s="6" t="n">
        <f aca="false">XLOOKUP(D13,'Emission Factors'!$A$2:$A$13,'Emission Factors'!$C$2:$C$13,"Not found")</f>
        <v>0.148</v>
      </c>
      <c r="I13" s="6" t="n">
        <f aca="false">IFERROR(F13*H13,"Pending factor")</f>
        <v>1258</v>
      </c>
      <c r="J13" s="6" t="s">
        <v>35</v>
      </c>
      <c r="K13" s="6" t="s">
        <v>47</v>
      </c>
      <c r="L13" s="6" t="s">
        <v>37</v>
      </c>
    </row>
    <row r="14" customFormat="false" ht="15" hidden="false" customHeight="true" outlineLevel="0" collapsed="false">
      <c r="A14" s="6" t="s">
        <v>22</v>
      </c>
      <c r="B14" s="6" t="s">
        <v>23</v>
      </c>
      <c r="C14" s="6" t="n">
        <v>2026</v>
      </c>
      <c r="D14" s="6" t="s">
        <v>48</v>
      </c>
      <c r="E14" s="6" t="n">
        <v>3</v>
      </c>
      <c r="F14" s="6" t="n">
        <v>12000</v>
      </c>
      <c r="G14" s="6" t="s">
        <v>44</v>
      </c>
      <c r="H14" s="6" t="n">
        <f aca="false">XLOOKUP(D14,'Emission Factors'!$A$2:$A$13,'Emission Factors'!$C$2:$C$13,"Not found")</f>
        <v>0.171</v>
      </c>
      <c r="I14" s="6" t="n">
        <f aca="false">IFERROR(F14*H14,"Pending factor")</f>
        <v>2052</v>
      </c>
      <c r="J14" s="6" t="s">
        <v>35</v>
      </c>
      <c r="K14" s="6" t="s">
        <v>49</v>
      </c>
      <c r="L14" s="6" t="s">
        <v>37</v>
      </c>
    </row>
    <row r="15" customFormat="false" ht="15" hidden="false" customHeight="true" outlineLevel="0" collapsed="false">
      <c r="A15" s="6" t="s">
        <v>22</v>
      </c>
      <c r="B15" s="6" t="s">
        <v>29</v>
      </c>
      <c r="C15" s="6" t="n">
        <v>2026</v>
      </c>
      <c r="D15" s="6" t="s">
        <v>48</v>
      </c>
      <c r="E15" s="6" t="n">
        <v>3</v>
      </c>
      <c r="F15" s="6" t="n">
        <v>11500</v>
      </c>
      <c r="G15" s="6" t="s">
        <v>44</v>
      </c>
      <c r="H15" s="6" t="n">
        <f aca="false">XLOOKUP(D15,'Emission Factors'!$A$2:$A$13,'Emission Factors'!$C$2:$C$13,"Not found")</f>
        <v>0.171</v>
      </c>
      <c r="I15" s="6" t="n">
        <f aca="false">IFERROR(F15*H15,"Pending factor")</f>
        <v>1966.5</v>
      </c>
      <c r="J15" s="6" t="s">
        <v>35</v>
      </c>
      <c r="K15" s="6" t="s">
        <v>49</v>
      </c>
      <c r="L15" s="6" t="s">
        <v>37</v>
      </c>
    </row>
    <row r="16" customFormat="false" ht="15" hidden="false" customHeight="true" outlineLevel="0" collapsed="false">
      <c r="A16" s="6" t="s">
        <v>31</v>
      </c>
      <c r="B16" s="6" t="s">
        <v>23</v>
      </c>
      <c r="C16" s="6" t="n">
        <v>2026</v>
      </c>
      <c r="D16" s="6" t="s">
        <v>48</v>
      </c>
      <c r="E16" s="6" t="n">
        <v>3</v>
      </c>
      <c r="F16" s="6" t="n">
        <v>4200</v>
      </c>
      <c r="G16" s="6" t="s">
        <v>44</v>
      </c>
      <c r="H16" s="6" t="n">
        <f aca="false">XLOOKUP(D16,'Emission Factors'!$A$2:$A$13,'Emission Factors'!$C$2:$C$13,"Not found")</f>
        <v>0.171</v>
      </c>
      <c r="I16" s="6" t="n">
        <f aca="false">IFERROR(F16*H16,"Pending factor")</f>
        <v>718.2</v>
      </c>
      <c r="J16" s="6" t="s">
        <v>50</v>
      </c>
      <c r="K16" s="6" t="s">
        <v>51</v>
      </c>
      <c r="L16" s="6" t="s">
        <v>37</v>
      </c>
    </row>
  </sheetData>
  <conditionalFormatting sqref="J2:J36">
    <cfRule type="cellIs" priority="2" operator="equal" aboveAverage="0" equalAverage="0" bottom="0" percent="0" rank="0" text="" dxfId="0">
      <formula>"Missing"</formula>
    </cfRule>
  </conditionalFormatting>
  <conditionalFormatting sqref="L2:L36">
    <cfRule type="cellIs" priority="3" operator="equal" aboveAverage="0" equalAverage="0" bottom="0" percent="0" rank="0" text="" dxfId="1">
      <formula>"Y"</formula>
    </cfRule>
  </conditionalFormatting>
  <dataValidations count="2">
    <dataValidation allowBlank="false" errorStyle="stop" operator="between" showDropDown="false" showErrorMessage="false" showInputMessage="false" sqref="J2:J36" type="list">
      <formula1>"Good,Estimated,Missing"</formula1>
      <formula2>0</formula2>
    </dataValidation>
    <dataValidation allowBlank="false" errorStyle="stop" operator="between" showDropDown="false" showErrorMessage="false" showInputMessage="false" sqref="L2:L36" type="list">
      <formula1>"Y,N"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32"/>
    <col collapsed="false" customWidth="true" hidden="false" outlineLevel="0" max="2" min="2" style="1" width="14"/>
    <col collapsed="false" customWidth="true" hidden="false" outlineLevel="0" max="3" min="3" style="1" width="16"/>
    <col collapsed="false" customWidth="true" hidden="false" outlineLevel="0" max="4" min="4" style="1" width="20"/>
    <col collapsed="false" customWidth="true" hidden="false" outlineLevel="0" max="5" min="5" style="1" width="34"/>
    <col collapsed="false" customWidth="true" hidden="false" outlineLevel="0" max="6" min="6" style="1" width="8"/>
    <col collapsed="false" customWidth="true" hidden="false" outlineLevel="0" max="7" min="7" style="1" width="55"/>
  </cols>
  <sheetData>
    <row r="1" customFormat="false" ht="19.5" hidden="false" customHeight="true" outlineLevel="0" collapsed="false">
      <c r="A1" s="5" t="s">
        <v>52</v>
      </c>
      <c r="B1" s="5" t="s">
        <v>16</v>
      </c>
      <c r="C1" s="5" t="s">
        <v>17</v>
      </c>
      <c r="D1" s="5" t="s">
        <v>53</v>
      </c>
      <c r="E1" s="5" t="s">
        <v>54</v>
      </c>
      <c r="F1" s="5" t="s">
        <v>12</v>
      </c>
      <c r="G1" s="5" t="s">
        <v>20</v>
      </c>
    </row>
    <row r="2" customFormat="false" ht="15" hidden="false" customHeight="true" outlineLevel="0" collapsed="false">
      <c r="A2" s="6" t="s">
        <v>24</v>
      </c>
      <c r="B2" s="6" t="s">
        <v>25</v>
      </c>
      <c r="C2" s="6" t="n">
        <v>2.02</v>
      </c>
      <c r="D2" s="6" t="s">
        <v>55</v>
      </c>
      <c r="E2" s="6" t="s">
        <v>56</v>
      </c>
      <c r="F2" s="6" t="n">
        <v>2024</v>
      </c>
      <c r="G2" s="6" t="s">
        <v>57</v>
      </c>
    </row>
    <row r="3" customFormat="false" ht="15" hidden="false" customHeight="true" outlineLevel="0" collapsed="false">
      <c r="A3" s="6" t="s">
        <v>32</v>
      </c>
      <c r="B3" s="6" t="s">
        <v>33</v>
      </c>
      <c r="C3" s="6" t="n">
        <v>2.68</v>
      </c>
      <c r="D3" s="6" t="s">
        <v>58</v>
      </c>
      <c r="E3" s="6" t="s">
        <v>56</v>
      </c>
      <c r="F3" s="6" t="n">
        <v>2024</v>
      </c>
      <c r="G3" s="6" t="s">
        <v>59</v>
      </c>
    </row>
    <row r="4" customFormat="false" ht="15" hidden="false" customHeight="true" outlineLevel="0" collapsed="false">
      <c r="A4" s="6" t="s">
        <v>38</v>
      </c>
      <c r="B4" s="6" t="s">
        <v>39</v>
      </c>
      <c r="C4" s="6" t="n">
        <v>0.3833</v>
      </c>
      <c r="D4" s="6" t="s">
        <v>60</v>
      </c>
      <c r="E4" s="6" t="s">
        <v>61</v>
      </c>
      <c r="F4" s="6" t="n">
        <v>2025</v>
      </c>
      <c r="G4" s="6" t="s">
        <v>62</v>
      </c>
    </row>
    <row r="5" customFormat="false" ht="15" hidden="false" customHeight="true" outlineLevel="0" collapsed="false">
      <c r="A5" s="6" t="s">
        <v>41</v>
      </c>
      <c r="B5" s="6" t="s">
        <v>39</v>
      </c>
      <c r="C5" s="6" t="n">
        <v>0.226</v>
      </c>
      <c r="D5" s="6" t="s">
        <v>60</v>
      </c>
      <c r="E5" s="6" t="s">
        <v>63</v>
      </c>
      <c r="F5" s="6" t="n">
        <v>2024</v>
      </c>
      <c r="G5" s="6" t="s">
        <v>64</v>
      </c>
    </row>
    <row r="6" customFormat="false" ht="15" hidden="false" customHeight="true" outlineLevel="0" collapsed="false">
      <c r="A6" s="6" t="s">
        <v>65</v>
      </c>
      <c r="B6" s="6" t="s">
        <v>39</v>
      </c>
      <c r="C6" s="6" t="s">
        <v>66</v>
      </c>
      <c r="D6" s="6" t="s">
        <v>60</v>
      </c>
      <c r="E6" s="6" t="s">
        <v>67</v>
      </c>
      <c r="F6" s="6" t="s">
        <v>68</v>
      </c>
      <c r="G6" s="6" t="s">
        <v>69</v>
      </c>
    </row>
    <row r="7" customFormat="false" ht="15" hidden="false" customHeight="true" outlineLevel="0" collapsed="false">
      <c r="A7" s="6" t="s">
        <v>70</v>
      </c>
      <c r="B7" s="6" t="s">
        <v>33</v>
      </c>
      <c r="C7" s="6" t="n">
        <v>1.52</v>
      </c>
      <c r="D7" s="6" t="s">
        <v>58</v>
      </c>
      <c r="E7" s="6" t="s">
        <v>56</v>
      </c>
      <c r="F7" s="6" t="n">
        <v>2024</v>
      </c>
      <c r="G7" s="6"/>
    </row>
    <row r="8" customFormat="false" ht="15" hidden="false" customHeight="true" outlineLevel="0" collapsed="false">
      <c r="A8" s="6" t="s">
        <v>71</v>
      </c>
      <c r="B8" s="6" t="s">
        <v>33</v>
      </c>
      <c r="C8" s="6" t="n">
        <v>2.31</v>
      </c>
      <c r="D8" s="6" t="s">
        <v>58</v>
      </c>
      <c r="E8" s="6" t="s">
        <v>56</v>
      </c>
      <c r="F8" s="6" t="n">
        <v>2024</v>
      </c>
      <c r="G8" s="6"/>
    </row>
    <row r="9" customFormat="false" ht="15" hidden="false" customHeight="true" outlineLevel="0" collapsed="false">
      <c r="A9" s="6" t="s">
        <v>43</v>
      </c>
      <c r="B9" s="6" t="s">
        <v>44</v>
      </c>
      <c r="C9" s="6" t="n">
        <v>0.151</v>
      </c>
      <c r="D9" s="6" t="s">
        <v>72</v>
      </c>
      <c r="E9" s="6" t="s">
        <v>56</v>
      </c>
      <c r="F9" s="6" t="n">
        <v>2024</v>
      </c>
      <c r="G9" s="6" t="s">
        <v>73</v>
      </c>
    </row>
    <row r="10" customFormat="false" ht="15" hidden="false" customHeight="true" outlineLevel="0" collapsed="false">
      <c r="A10" s="6" t="s">
        <v>46</v>
      </c>
      <c r="B10" s="6" t="s">
        <v>44</v>
      </c>
      <c r="C10" s="6" t="n">
        <v>0.148</v>
      </c>
      <c r="D10" s="6" t="s">
        <v>72</v>
      </c>
      <c r="E10" s="6" t="s">
        <v>56</v>
      </c>
      <c r="F10" s="6" t="n">
        <v>2024</v>
      </c>
      <c r="G10" s="6" t="s">
        <v>73</v>
      </c>
    </row>
    <row r="11" customFormat="false" ht="15" hidden="false" customHeight="true" outlineLevel="0" collapsed="false">
      <c r="A11" s="6" t="s">
        <v>48</v>
      </c>
      <c r="B11" s="6" t="s">
        <v>44</v>
      </c>
      <c r="C11" s="6" t="n">
        <v>0.171</v>
      </c>
      <c r="D11" s="6" t="s">
        <v>72</v>
      </c>
      <c r="E11" s="6" t="s">
        <v>56</v>
      </c>
      <c r="F11" s="6" t="n">
        <v>2024</v>
      </c>
      <c r="G11" s="6" t="s">
        <v>74</v>
      </c>
    </row>
    <row r="12" customFormat="false" ht="15" hidden="false" customHeight="true" outlineLevel="0" collapsed="false">
      <c r="A12" s="6" t="s">
        <v>75</v>
      </c>
      <c r="B12" s="6" t="s">
        <v>76</v>
      </c>
      <c r="C12" s="6" t="n">
        <v>2088</v>
      </c>
      <c r="D12" s="6" t="s">
        <v>77</v>
      </c>
      <c r="E12" s="6" t="s">
        <v>78</v>
      </c>
      <c r="F12" s="6" t="n">
        <v>2014</v>
      </c>
      <c r="G12" s="6" t="s">
        <v>79</v>
      </c>
    </row>
    <row r="13" customFormat="false" ht="15" hidden="false" customHeight="true" outlineLevel="0" collapsed="false">
      <c r="A13" s="6" t="s">
        <v>80</v>
      </c>
      <c r="B13" s="6" t="s">
        <v>76</v>
      </c>
      <c r="C13" s="6" t="n">
        <v>675</v>
      </c>
      <c r="D13" s="6" t="s">
        <v>77</v>
      </c>
      <c r="E13" s="6" t="s">
        <v>78</v>
      </c>
      <c r="F13" s="6" t="n">
        <v>2014</v>
      </c>
      <c r="G13" s="6" t="s">
        <v>79</v>
      </c>
    </row>
  </sheetData>
  <sheetProtection sheet="true"/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1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22"/>
    <col collapsed="false" customWidth="true" hidden="false" outlineLevel="0" max="2" min="2" style="1" width="14"/>
    <col collapsed="false" customWidth="true" hidden="false" outlineLevel="0" max="3" min="3" style="1" width="4"/>
    <col collapsed="false" customWidth="true" hidden="false" outlineLevel="0" max="4" min="4" style="1" width="22"/>
    <col collapsed="false" customWidth="true" hidden="false" outlineLevel="0" max="5" min="5" style="1" width="14"/>
  </cols>
  <sheetData>
    <row r="1" customFormat="false" ht="17.25" hidden="false" customHeight="true" outlineLevel="0" collapsed="false">
      <c r="A1" s="7" t="s">
        <v>81</v>
      </c>
      <c r="B1" s="7"/>
      <c r="C1" s="7"/>
      <c r="D1" s="7"/>
      <c r="E1" s="7"/>
      <c r="F1" s="7"/>
    </row>
    <row r="3" customFormat="false" ht="15" hidden="false" customHeight="true" outlineLevel="0" collapsed="false">
      <c r="A3" s="8" t="s">
        <v>82</v>
      </c>
      <c r="B3" s="9" t="n">
        <f aca="false">SUMIFS('Data Entry'!$I$2:$I$16,'Data Entry'!$E$2:$E$16,1)/1000</f>
        <v>6.1632</v>
      </c>
      <c r="D3" s="10" t="s">
        <v>83</v>
      </c>
    </row>
    <row r="4" customFormat="false" ht="15" hidden="false" customHeight="true" outlineLevel="0" collapsed="false">
      <c r="A4" s="8" t="s">
        <v>84</v>
      </c>
      <c r="B4" s="9" t="n">
        <f aca="false">SUMIFS('Data Entry'!$I$2:$I$16,'Data Entry'!$E$2:$E$16,2)/1000</f>
        <v>78.1196332</v>
      </c>
      <c r="D4" s="6" t="s">
        <v>22</v>
      </c>
      <c r="E4" s="9" t="n">
        <f aca="false">SUMIFS('Data Entry'!$I$2:$I$16,'Data Entry'!$A$2:$A$16,"Dubai Office")/1000</f>
        <v>79.9835332</v>
      </c>
    </row>
    <row r="5" customFormat="false" ht="15" hidden="false" customHeight="true" outlineLevel="0" collapsed="false">
      <c r="A5" s="8" t="s">
        <v>85</v>
      </c>
      <c r="B5" s="9" t="n">
        <f aca="false">SUMIFS('Data Entry'!$I$2:$I$16,'Data Entry'!$E$2:$E$16,3)/1000</f>
        <v>6.4779</v>
      </c>
      <c r="D5" s="6" t="s">
        <v>31</v>
      </c>
      <c r="E5" s="9" t="n">
        <f aca="false">SUMIFS('Data Entry'!$I$2:$I$16,'Data Entry'!$A$2:$A$16,"Abu Dhabi Warehouse")/1000</f>
        <v>10.7772</v>
      </c>
    </row>
    <row r="6" customFormat="false" ht="15" hidden="false" customHeight="true" outlineLevel="0" collapsed="false">
      <c r="A6" s="8" t="s">
        <v>86</v>
      </c>
      <c r="B6" s="9" t="n">
        <f aca="false">SUM(B3:B5)</f>
        <v>90.7607332</v>
      </c>
    </row>
    <row r="7" customFormat="false" ht="15" hidden="false" customHeight="true" outlineLevel="0" collapsed="false">
      <c r="A7" s="8" t="s">
        <v>87</v>
      </c>
      <c r="B7" s="11" t="n">
        <f aca="false">IFERROR(B3/B6,0)</f>
        <v>0.0679060181942206</v>
      </c>
    </row>
    <row r="8" customFormat="false" ht="15" hidden="false" customHeight="true" outlineLevel="0" collapsed="false">
      <c r="A8" s="8" t="s">
        <v>88</v>
      </c>
      <c r="B8" s="11" t="n">
        <f aca="false">IFERROR(B4/B6,0)</f>
        <v>0.860720605108554</v>
      </c>
    </row>
    <row r="9" customFormat="false" ht="15" hidden="false" customHeight="true" outlineLevel="0" collapsed="false">
      <c r="A9" s="8" t="s">
        <v>89</v>
      </c>
      <c r="B9" s="11" t="n">
        <f aca="false">IFERROR(B5/B6,0)</f>
        <v>0.0713733766972257</v>
      </c>
    </row>
    <row r="12" customFormat="false" ht="15" hidden="false" customHeight="true" outlineLevel="0" collapsed="false">
      <c r="A12" s="10" t="s">
        <v>90</v>
      </c>
      <c r="D12" s="10" t="s">
        <v>91</v>
      </c>
    </row>
    <row r="13" customFormat="false" ht="15" hidden="false" customHeight="true" outlineLevel="0" collapsed="false">
      <c r="A13" s="12" t="s">
        <v>11</v>
      </c>
      <c r="B13" s="12" t="s">
        <v>92</v>
      </c>
      <c r="D13" s="6" t="s">
        <v>93</v>
      </c>
      <c r="E13" s="9" t="n">
        <f aca="false">SUM(B14:B16)</f>
        <v>90.7607332</v>
      </c>
    </row>
    <row r="14" customFormat="false" ht="15" hidden="false" customHeight="true" outlineLevel="0" collapsed="false">
      <c r="A14" s="6" t="s">
        <v>23</v>
      </c>
      <c r="B14" s="13" t="n">
        <f aca="false">SUMIFS('Data Entry'!$I$2:$I$16,'Data Entry'!$B$2:$B$16,"Jan")/1000</f>
        <v>37.9818005</v>
      </c>
    </row>
    <row r="15" customFormat="false" ht="15" hidden="false" customHeight="true" outlineLevel="0" collapsed="false">
      <c r="A15" s="6" t="s">
        <v>29</v>
      </c>
      <c r="B15" s="13" t="n">
        <f aca="false">SUMIFS('Data Entry'!$I$2:$I$16,'Data Entry'!$B$2:$B$16,"Feb")/1000</f>
        <v>28.8039459</v>
      </c>
    </row>
    <row r="16" customFormat="false" ht="15" hidden="false" customHeight="true" outlineLevel="0" collapsed="false">
      <c r="A16" s="6" t="s">
        <v>30</v>
      </c>
      <c r="B16" s="13" t="n">
        <f aca="false">SUMIFS('Data Entry'!$I$2:$I$16,'Data Entry'!$B$2:$B$16,"Mar")/1000</f>
        <v>23.9749868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F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1" width="12"/>
    <col collapsed="false" customWidth="true" hidden="false" outlineLevel="0" max="2" min="2" style="1" width="14"/>
    <col collapsed="false" customWidth="true" hidden="false" outlineLevel="0" max="5" min="3" style="1" width="22"/>
    <col collapsed="false" customWidth="true" hidden="false" outlineLevel="0" max="6" min="6" style="1" width="45"/>
  </cols>
  <sheetData>
    <row r="1" customFormat="false" ht="15" hidden="false" customHeight="true" outlineLevel="0" collapsed="false">
      <c r="A1" s="14" t="s">
        <v>94</v>
      </c>
      <c r="B1" s="14"/>
      <c r="C1" s="14"/>
      <c r="D1" s="14"/>
      <c r="E1" s="14"/>
      <c r="F1" s="14"/>
    </row>
    <row r="2" customFormat="false" ht="27.75" hidden="false" customHeight="true" outlineLevel="0" collapsed="false">
      <c r="A2" s="5" t="s">
        <v>95</v>
      </c>
      <c r="B2" s="5" t="s">
        <v>96</v>
      </c>
      <c r="C2" s="5" t="s">
        <v>97</v>
      </c>
      <c r="D2" s="5" t="s">
        <v>98</v>
      </c>
      <c r="E2" s="5" t="s">
        <v>99</v>
      </c>
      <c r="F2" s="5" t="s">
        <v>100</v>
      </c>
    </row>
    <row r="3" customFormat="false" ht="15" hidden="false" customHeight="true" outlineLevel="0" collapsed="false">
      <c r="A3" s="6" t="s">
        <v>101</v>
      </c>
      <c r="B3" s="6" t="s">
        <v>102</v>
      </c>
      <c r="C3" s="6" t="s">
        <v>103</v>
      </c>
      <c r="D3" s="6" t="s">
        <v>104</v>
      </c>
      <c r="E3" s="6" t="s">
        <v>105</v>
      </c>
      <c r="F3" s="6" t="s">
        <v>106</v>
      </c>
    </row>
    <row r="4" customFormat="false" ht="15" hidden="false" customHeight="true" outlineLevel="0" collapsed="false">
      <c r="A4" s="6" t="s">
        <v>107</v>
      </c>
      <c r="B4" s="6" t="s">
        <v>102</v>
      </c>
      <c r="C4" s="6" t="s">
        <v>108</v>
      </c>
      <c r="D4" s="6" t="s">
        <v>109</v>
      </c>
      <c r="E4" s="6" t="s">
        <v>110</v>
      </c>
      <c r="F4" s="6" t="s">
        <v>111</v>
      </c>
    </row>
    <row r="5" customFormat="false" ht="15" hidden="false" customHeight="true" outlineLevel="0" collapsed="false">
      <c r="A5" s="6" t="s">
        <v>112</v>
      </c>
      <c r="B5" s="6" t="s">
        <v>102</v>
      </c>
      <c r="C5" s="6" t="s">
        <v>113</v>
      </c>
      <c r="D5" s="6" t="s">
        <v>114</v>
      </c>
      <c r="E5" s="6" t="s">
        <v>31</v>
      </c>
      <c r="F5" s="6" t="s">
        <v>115</v>
      </c>
    </row>
    <row r="6" customFormat="false" ht="15" hidden="false" customHeight="true" outlineLevel="0" collapsed="false">
      <c r="A6" s="6" t="s">
        <v>116</v>
      </c>
      <c r="B6" s="6" t="s">
        <v>102</v>
      </c>
      <c r="C6" s="6" t="s">
        <v>103</v>
      </c>
      <c r="D6" s="6" t="s">
        <v>117</v>
      </c>
      <c r="E6" s="6" t="s">
        <v>118</v>
      </c>
      <c r="F6" s="6" t="s">
        <v>119</v>
      </c>
    </row>
  </sheetData>
  <mergeCells count="1">
    <mergeCell ref="A1:F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D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2" min="1" style="1" width="30"/>
    <col collapsed="false" customWidth="true" hidden="false" outlineLevel="0" max="3" min="3" style="1" width="26"/>
    <col collapsed="false" customWidth="true" hidden="false" outlineLevel="0" max="4" min="4" style="1" width="45"/>
  </cols>
  <sheetData>
    <row r="1" customFormat="false" ht="15" hidden="false" customHeight="true" outlineLevel="0" collapsed="false">
      <c r="A1" s="14" t="s">
        <v>120</v>
      </c>
      <c r="B1" s="14"/>
      <c r="C1" s="14"/>
      <c r="D1" s="14"/>
    </row>
    <row r="2" customFormat="false" ht="27.75" hidden="false" customHeight="true" outlineLevel="0" collapsed="false">
      <c r="A2" s="5" t="s">
        <v>121</v>
      </c>
      <c r="B2" s="5" t="s">
        <v>122</v>
      </c>
      <c r="C2" s="5" t="s">
        <v>123</v>
      </c>
      <c r="D2" s="5" t="s">
        <v>20</v>
      </c>
    </row>
    <row r="3" customFormat="false" ht="23.25" hidden="false" customHeight="true" outlineLevel="0" collapsed="false">
      <c r="A3" s="15" t="s">
        <v>124</v>
      </c>
      <c r="B3" s="15" t="s">
        <v>125</v>
      </c>
      <c r="C3" s="15" t="s">
        <v>126</v>
      </c>
      <c r="D3" s="15" t="s">
        <v>127</v>
      </c>
    </row>
    <row r="4" customFormat="false" ht="23.25" hidden="false" customHeight="true" outlineLevel="0" collapsed="false">
      <c r="A4" s="15" t="s">
        <v>128</v>
      </c>
      <c r="B4" s="15" t="s">
        <v>129</v>
      </c>
      <c r="C4" s="15" t="s">
        <v>126</v>
      </c>
      <c r="D4" s="15" t="s">
        <v>127</v>
      </c>
    </row>
    <row r="5" customFormat="false" ht="23.25" hidden="false" customHeight="true" outlineLevel="0" collapsed="false">
      <c r="A5" s="15" t="s">
        <v>130</v>
      </c>
      <c r="B5" s="15" t="s">
        <v>131</v>
      </c>
      <c r="C5" s="15" t="s">
        <v>132</v>
      </c>
      <c r="D5" s="15" t="s">
        <v>133</v>
      </c>
    </row>
    <row r="6" customFormat="false" ht="23.25" hidden="false" customHeight="true" outlineLevel="0" collapsed="false">
      <c r="A6" s="15" t="s">
        <v>134</v>
      </c>
      <c r="B6" s="15" t="s">
        <v>135</v>
      </c>
      <c r="C6" s="15" t="s">
        <v>132</v>
      </c>
      <c r="D6" s="15" t="s">
        <v>136</v>
      </c>
    </row>
    <row r="7" customFormat="false" ht="23.25" hidden="false" customHeight="true" outlineLevel="0" collapsed="false">
      <c r="A7" s="15" t="s">
        <v>137</v>
      </c>
      <c r="B7" s="15" t="s">
        <v>138</v>
      </c>
      <c r="C7" s="15" t="s">
        <v>139</v>
      </c>
      <c r="D7" s="15" t="s">
        <v>140</v>
      </c>
    </row>
  </sheetData>
  <mergeCells count="1">
    <mergeCell ref="A1:D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2026-08-06T09:06:06Z</dcterms:created>
  <dc:creator>openpyxl</dc:creator>
  <dc:description/>
  <dc:language>en-US</dc:language>
  <cp:lastModifiedBy/>
  <dcterms:modified xsi:type="dcterms:W3CDTF">2026-08-16T18:09:14Z</dcterms:modified>
  <cp:revision>8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