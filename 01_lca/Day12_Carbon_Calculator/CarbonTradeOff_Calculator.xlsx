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318DC88-8102-4EEA-A9D9-04605E0807C1}" xr6:coauthVersionLast="47" xr6:coauthVersionMax="47" xr10:uidLastSave="{00000000-0000-0000-0000-000000000000}"/>
  <bookViews>
    <workbookView xWindow="-120" yWindow="-120" windowWidth="20730" windowHeight="11040" tabRatio="804" activeTab="3" xr2:uid="{00000000-000D-0000-FFFF-FFFF00000000}"/>
  </bookViews>
  <sheets>
    <sheet name="Emission_Factors" sheetId="1" r:id="rId1"/>
    <sheet name="Carbon_Calculation" sheetId="2" r:id="rId2"/>
    <sheet name="What_If" sheetId="3" r:id="rId3"/>
    <sheet name="Materials_Rank" sheetId="4" r:id="rId4"/>
    <sheet name="About_This_Tool" sheetId="5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3" l="1"/>
  <c r="C5" i="3"/>
  <c r="D5" i="3" s="1"/>
  <c r="C4" i="3"/>
  <c r="D4" i="3" s="1"/>
  <c r="C3" i="3"/>
  <c r="D3" i="3" s="1"/>
  <c r="D6" i="3" s="1"/>
  <c r="B6" i="2"/>
  <c r="C5" i="2"/>
  <c r="D5" i="2" s="1"/>
  <c r="C4" i="2"/>
  <c r="D4" i="2" s="1"/>
  <c r="C3" i="2"/>
  <c r="D3" i="2" s="1"/>
  <c r="D6" i="2" l="1"/>
  <c r="E3" i="2"/>
  <c r="E4" i="2"/>
  <c r="E5" i="2"/>
</calcChain>
</file>

<file path=xl/sharedStrings.xml><?xml version="1.0" encoding="utf-8"?>
<sst xmlns="http://schemas.openxmlformats.org/spreadsheetml/2006/main" count="57" uniqueCount="34">
  <si>
    <t>Note: Quantities in this scenario are illustrative for Excel skills demonstration. Real material breakdowns require a structural take-off from design documents.</t>
  </si>
  <si>
    <t>Material</t>
  </si>
  <si>
    <t>Carbon Factor (kg CO₂e/t)</t>
  </si>
  <si>
    <t>EPD Source</t>
  </si>
  <si>
    <t>Concrete</t>
  </si>
  <si>
    <t>Emirates Beton EPD HUB-0250</t>
  </si>
  <si>
    <t>Steel</t>
  </si>
  <si>
    <t>CRSI rebar EPD ASTM-EPD362</t>
  </si>
  <si>
    <t>CLT</t>
  </si>
  <si>
    <t>Stora Enso EPD S-P-09949</t>
  </si>
  <si>
    <t>Qty (t) — DEMO</t>
  </si>
  <si>
    <t>Carbon Factor</t>
  </si>
  <si>
    <t>Total CO₂e (kg)</t>
  </si>
  <si>
    <t>% of Total</t>
  </si>
  <si>
    <t>TOTAL (row 6)</t>
  </si>
  <si>
    <t>—</t>
  </si>
  <si>
    <t>Note: Quantities in this scenario are illustrative for Excel skills demonstration. Real material breakdowns require a structural take-off from design documents</t>
  </si>
  <si>
    <t>Scenario</t>
  </si>
  <si>
    <t>Change Made</t>
  </si>
  <si>
    <t>Saving (kg)</t>
  </si>
  <si>
    <t>% Saving</t>
  </si>
  <si>
    <t>Baseline</t>
  </si>
  <si>
    <t>No change — original DEMO quantities (200t Concrete / 30t Steel / 25t CLT)</t>
  </si>
  <si>
    <t>Scenario A</t>
  </si>
  <si>
    <t>Material substitution: replace 10t steel with 10t CLT (Steel 30→20t, CLT 25→35t)</t>
  </si>
  <si>
    <t>Scenario B</t>
  </si>
  <si>
    <t>Structural optimisation: reduce steel by 15t through efficient design (Steel 30→15t, no substitution)</t>
  </si>
  <si>
    <t>Sum of Total CO₂e (kg)</t>
  </si>
  <si>
    <t>Grand Total</t>
  </si>
  <si>
    <t>This calculator demonstrates Excel skills — XLOOKUP, PivotTables, scenario modelling — using REAL EPD carbon factors and ILLUSTRATIVE material quantities.</t>
  </si>
  <si>
    <t>Carbon factors (Concrete 91.1, Steel 854, CLT 111.9 kg CO₂e/tonne) are sourced from real, published EPDs — see Emission_Factors sheet for registration numbers.</t>
  </si>
  <si>
    <t>Material quantities (200t concrete / 30t steel / 25t CLT) are illustrative, not taken from a real structural take-off or building.</t>
  </si>
  <si>
    <t>Purpose: to demonstrate the methodology a sustainability analyst uses to compare material carbon impact and model trade-offs — not to claim a real project assessment.</t>
  </si>
  <si>
    <t>For scale: the same method applied to a larger building produces proportionally larger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</si>
</sst>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.5"/>
      <color theme="1"/>
      <name val="Arial"/>
      <charset val="134"/>
    </font>
    <font>
      <b/>
      <sz val="9"/>
      <color rgb="FFFFFFFF"/>
      <name val="Arial"/>
      <charset val="134"/>
    </font>
    <font>
      <sz val="9"/>
      <color theme="1"/>
      <name val="Arial"/>
      <charset val="134"/>
    </font>
    <font>
      <b/>
      <sz val="10"/>
      <color rgb="FF2D2D2D"/>
      <name val="Arial"/>
      <charset val="1"/>
    </font>
    <font>
      <sz val="9.5"/>
      <color rgb="FF2D2D2D"/>
      <name val="Arial"/>
      <charset val="1"/>
    </font>
    <font>
      <sz val="11"/>
      <color rgb="FF000000"/>
      <name val="Calibri"/>
      <charset val="1"/>
    </font>
    <font>
      <b/>
      <sz val="11"/>
      <color theme="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6" xfId="0" applyBorder="1"/>
    <xf numFmtId="0" fontId="4" fillId="0" borderId="0" xfId="0" applyFont="1" applyAlignment="1">
      <alignment horizontal="left" vertical="center" indent="5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" fontId="5" fillId="2" borderId="7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0" fillId="0" borderId="0" xfId="0" applyFont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164" fontId="6" fillId="3" borderId="9" xfId="0" applyNumberFormat="1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9" fontId="6" fillId="4" borderId="9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pivotButton="1" applyBorder="1"/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1" xfId="0" applyBorder="1"/>
    <xf numFmtId="0" fontId="0" fillId="0" borderId="2" xfId="0" applyBorder="1"/>
    <xf numFmtId="0" fontId="3" fillId="0" borderId="12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4" xfId="0" applyBorder="1"/>
    <xf numFmtId="0" fontId="1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wrapText="1"/>
    </xf>
    <xf numFmtId="0" fontId="6" fillId="3" borderId="16" xfId="0" applyFont="1" applyFill="1" applyBorder="1" applyAlignment="1">
      <alignment horizontal="center" vertical="center" wrapText="1"/>
    </xf>
    <xf numFmtId="1" fontId="6" fillId="3" borderId="16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6" xfId="0" applyBorder="1"/>
    <xf numFmtId="0" fontId="3" fillId="7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10" fontId="8" fillId="6" borderId="21" xfId="0" applyNumberFormat="1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10" fontId="0" fillId="6" borderId="24" xfId="0" applyNumberForma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</cellXfs>
  <cellStyles count="1">
    <cellStyle name="Normal" xfId="0" builtinId="0"/>
  </cellStyles>
  <dxfs count="30"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2D2D"/>
        <name val="Arial"/>
        <charset val="1"/>
        <scheme val="none"/>
      </font>
      <fill>
        <patternFill patternType="solid">
          <fgColor indexed="64"/>
          <bgColor theme="7" tint="0.3999450666829432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charset val="134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numFmt numFmtId="164" formatCode="0.0"/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numFmt numFmtId="1" formatCode="0"/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charset val="134"/>
        <scheme val="none"/>
      </font>
      <fill>
        <patternFill patternType="solid">
          <fgColor indexed="64"/>
          <bgColor theme="9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pivotSource>
    <c:name>[CarbonTradeOff_Calculator 4 (1).xlsx]Materials_Rank!PivotTable1</c:name>
    <c:fmtId val="0"/>
  </c:pivotSource>
  <c:chart>
    <c:title>
      <c:tx>
        <c:rich>
          <a:bodyPr/>
          <a:lstStyle/>
          <a:p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Materials_Rank!$B$3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Materials_Rank!$A$4:$A$7</c:f>
              <c:strCache>
                <c:ptCount val="3"/>
                <c:pt idx="0">
                  <c:v>CLT</c:v>
                </c:pt>
                <c:pt idx="1">
                  <c:v>Concrete</c:v>
                </c:pt>
                <c:pt idx="2">
                  <c:v>Steel</c:v>
                </c:pt>
              </c:strCache>
            </c:strRef>
          </c:cat>
          <c:val>
            <c:numRef>
              <c:f>Materials_Rank!$B$4:$B$7</c:f>
              <c:numCache>
                <c:formatCode>0</c:formatCode>
                <c:ptCount val="3"/>
                <c:pt idx="0">
                  <c:v>2797.5</c:v>
                </c:pt>
                <c:pt idx="1">
                  <c:v>18220</c:v>
                </c:pt>
                <c:pt idx="2">
                  <c:v>25620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B5-436F-9CD1-A9ED46CE4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2585863"/>
        <c:axId val="677532679"/>
      </c:barChart>
      <c:catAx>
        <c:axId val="342585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532679"/>
        <c:crosses val="autoZero"/>
        <c:auto val="1"/>
        <c:lblAlgn val="ctr"/>
        <c:lblOffset val="100"/>
        <c:noMultiLvlLbl val="0"/>
      </c:catAx>
      <c:valAx>
        <c:axId val="677532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58586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lang="en-US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12</xdr:col>
      <xdr:colOff>571500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9.582038541666" createdVersion="8" refreshedVersion="8" minRefreshableVersion="3" recordCount="4" xr:uid="{00000000-000A-0000-FFFF-FFFF00000000}">
  <cacheSource type="worksheet">
    <worksheetSource ref="A2:E6" sheet="Carbon_Calculation"/>
  </cacheSource>
  <cacheFields count="5">
    <cacheField name="Material" numFmtId="0">
      <sharedItems count="4">
        <s v="Concrete"/>
        <s v="Steel"/>
        <s v="CLT"/>
        <s v="TOTAL (row 6)"/>
      </sharedItems>
    </cacheField>
    <cacheField name="Qty (t) — DEMO" numFmtId="0">
      <sharedItems containsSemiMixedTypes="0" containsString="0" containsNumber="1" containsInteger="1" minValue="25" maxValue="255"/>
    </cacheField>
    <cacheField name="Carbon Factor" numFmtId="0">
      <sharedItems containsMixedTypes="1" containsNumber="1" minValue="91.1" maxValue="854"/>
    </cacheField>
    <cacheField name="Total CO₂e (kg)" numFmtId="1">
      <sharedItems containsSemiMixedTypes="0" containsString="0" containsNumber="1" minValue="2797.5" maxValue="46637.5"/>
    </cacheField>
    <cacheField name="% of Total" numFmtId="0">
      <sharedItems containsSemiMixedTypes="0" containsString="0" containsNumber="1" minValue="1" maxValue="54.9343339587242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">
  <r>
    <x v="0"/>
    <n v="200"/>
    <n v="91.09999999999999"/>
    <n v="18220"/>
    <n v="39.0672741892254"/>
  </r>
  <r>
    <x v="1"/>
    <n v="30"/>
    <n v="854"/>
    <n v="25620"/>
    <n v="54.9343339587242"/>
  </r>
  <r>
    <x v="2"/>
    <n v="25"/>
    <n v="111.9"/>
    <n v="2797.5"/>
    <n v="5.99839185205039"/>
  </r>
  <r>
    <x v="3"/>
    <n v="255"/>
    <s v="—"/>
    <n v="46637.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A3:B7" firstHeaderRow="1" firstDataRow="1" firstDataCol="1"/>
  <pivotFields count="5">
    <pivotField axis="axisRow" compact="0" outline="0" showAll="0">
      <items count="5">
        <item x="2"/>
        <item x="0"/>
        <item x="1"/>
        <item h="1" x="3"/>
        <item t="default"/>
      </items>
    </pivotField>
    <pivotField compact="0" outline="0" showAll="0"/>
    <pivotField compact="0" outline="0" showAll="0"/>
    <pivotField dataField="1" compact="0" numFmtId="1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O₂e (kg)" fld="3" baseField="0" baseItem="0" numFmtId="1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fieldPosition="0"/>
    </format>
    <format dxfId="26">
      <pivotArea dataOnly="0" labelOnly="1" outline="0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2E66D1-31BA-42A9-B144-BE315B4E512D}" name="Table3" displayName="Table3" ref="A2:C5" totalsRowShown="0" headerRowDxfId="10" dataDxfId="11" tableBorderDxfId="15">
  <autoFilter ref="A2:C5" xr:uid="{382E66D1-31BA-42A9-B144-BE315B4E512D}"/>
  <tableColumns count="3">
    <tableColumn id="1" xr3:uid="{4F57E3FE-74AD-44F5-A9D3-6FEFCDA0A46F}" name="Material" dataDxfId="14"/>
    <tableColumn id="2" xr3:uid="{11068F65-BD22-4B39-9556-D0775AD89727}" name="Carbon Factor (kg CO₂e/t)" dataDxfId="13"/>
    <tableColumn id="3" xr3:uid="{FC6340B5-5009-446A-9889-AD9A79EBCC0C}" name="EPD Source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389E8B-B960-41E2-A381-D045E8723ADE}" name="Table2" displayName="Table2" ref="A2:E5" totalsRowShown="0" headerRowDxfId="16" dataDxfId="17" tableBorderDxfId="23">
  <autoFilter ref="A2:E5" xr:uid="{18389E8B-B960-41E2-A381-D045E8723ADE}"/>
  <tableColumns count="5">
    <tableColumn id="1" xr3:uid="{041CA6B0-1BBE-475B-9C52-0654778A6D73}" name="Material" dataDxfId="22"/>
    <tableColumn id="2" xr3:uid="{B95C8C60-B658-44DD-B7E0-0B88CADC7DA2}" name="Qty (t) — DEMO" dataDxfId="21"/>
    <tableColumn id="3" xr3:uid="{48D8F939-8B93-460B-BFC1-B7D2B3401618}" name="Carbon Factor" dataDxfId="20">
      <calculatedColumnFormula>_xlfn.XLOOKUP(A3,Emission_Factors!A:A,Emission_Factors!B:B)</calculatedColumnFormula>
    </tableColumn>
    <tableColumn id="4" xr3:uid="{E08F9103-6534-484B-A6B3-CC8E827B7944}" name="Total CO₂e (kg)" dataDxfId="19">
      <calculatedColumnFormula>B3*C3</calculatedColumnFormula>
    </tableColumn>
    <tableColumn id="5" xr3:uid="{E0FB0F92-A125-4BE2-9D40-D20F9526A253}" name="% of Total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40A29C-4B37-4BA6-AF37-420FF544F6BA}" name="Table4" displayName="Table4" ref="A2:D5" totalsRowShown="0" headerRowDxfId="3" dataDxfId="4" tableBorderDxfId="9">
  <autoFilter ref="A2:D5" xr:uid="{0A40A29C-4B37-4BA6-AF37-420FF544F6BA}"/>
  <tableColumns count="4">
    <tableColumn id="1" xr3:uid="{2787D9F0-8062-48AB-87C0-0C757E93AC63}" name="Material" dataDxfId="8"/>
    <tableColumn id="2" xr3:uid="{E46EE5AC-1CC7-42AC-9CAD-1CE5D44B3043}" name="Qty (t) — DEMO" dataDxfId="7"/>
    <tableColumn id="3" xr3:uid="{E7A8F442-C9C8-49F6-82FD-B6564057584A}" name="Carbon Factor" dataDxfId="6">
      <calculatedColumnFormula>_xlfn.XLOOKUP(A3,Emission_Factors!A:A,Emission_Factors!B:B)</calculatedColumnFormula>
    </tableColumn>
    <tableColumn id="4" xr3:uid="{4A1050A3-B8EF-4B18-AABE-D4CF7323D8FF}" name="Total CO₂e (kg)" dataDxfId="5">
      <calculatedColumnFormula>B3*C3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AD0600-5F64-4E50-8752-7C7B9FFD749F}" name="Table5" displayName="Table5" ref="A9:E12" totalsRowShown="0" headerRowDxfId="1" headerRowBorderDxfId="0" tableBorderDxfId="2">
  <autoFilter ref="A9:E12" xr:uid="{31AD0600-5F64-4E50-8752-7C7B9FFD749F}"/>
  <tableColumns count="5">
    <tableColumn id="1" xr3:uid="{F1FF5B7E-C2A6-459E-85B6-CC33DA102A07}" name="Scenario"/>
    <tableColumn id="2" xr3:uid="{F5A3F64B-7DA5-4504-8CC1-82B4B2A8473E}" name="Change Made"/>
    <tableColumn id="3" xr3:uid="{D49C2554-EBA7-42E2-BD87-3A14A0628123}" name="Total CO₂e (kg)"/>
    <tableColumn id="4" xr3:uid="{D8E88D77-6AC6-4AAF-B0D6-F76A5A539698}" name="Saving (kg)"/>
    <tableColumn id="5" xr3:uid="{C207197D-D34A-4D28-A589-9B1B8F6B8158}" name="% Saving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workbookViewId="0">
      <selection activeCell="E12" sqref="E12"/>
    </sheetView>
  </sheetViews>
  <sheetFormatPr defaultColWidth="9" defaultRowHeight="15"/>
  <cols>
    <col min="1" max="1" width="15.140625" customWidth="1"/>
    <col min="2" max="2" width="33" customWidth="1"/>
    <col min="3" max="3" width="39.5703125" customWidth="1"/>
  </cols>
  <sheetData>
    <row r="1" spans="1:18" ht="45" customHeight="1">
      <c r="A1" s="48" t="s">
        <v>0</v>
      </c>
      <c r="B1" s="46"/>
      <c r="C1" s="47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3"/>
      <c r="Q1" s="23"/>
      <c r="R1" s="23"/>
    </row>
    <row r="2" spans="1:18">
      <c r="A2" s="3" t="s">
        <v>1</v>
      </c>
      <c r="B2" s="4" t="s">
        <v>2</v>
      </c>
      <c r="C2" s="4" t="s">
        <v>3</v>
      </c>
    </row>
    <row r="3" spans="1:18">
      <c r="A3" s="6" t="s">
        <v>4</v>
      </c>
      <c r="B3" s="6">
        <v>91.1</v>
      </c>
      <c r="C3" s="6" t="s">
        <v>5</v>
      </c>
    </row>
    <row r="4" spans="1:18">
      <c r="A4" s="6" t="s">
        <v>6</v>
      </c>
      <c r="B4" s="6">
        <v>854</v>
      </c>
      <c r="C4" s="6" t="s">
        <v>7</v>
      </c>
    </row>
    <row r="5" spans="1:18">
      <c r="A5" s="42" t="s">
        <v>8</v>
      </c>
      <c r="B5" s="42">
        <v>111.9</v>
      </c>
      <c r="C5" s="42" t="s">
        <v>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"/>
  <sheetViews>
    <sheetView workbookViewId="0">
      <selection activeCell="E13" sqref="E13"/>
    </sheetView>
  </sheetViews>
  <sheetFormatPr defaultColWidth="9" defaultRowHeight="15"/>
  <cols>
    <col min="1" max="1" width="15.140625" customWidth="1"/>
    <col min="2" max="2" width="20" customWidth="1"/>
    <col min="3" max="3" width="55.85546875" customWidth="1"/>
    <col min="4" max="4" width="24.85546875" customWidth="1"/>
    <col min="5" max="5" width="28.85546875" customWidth="1"/>
  </cols>
  <sheetData>
    <row r="1" spans="1:18" ht="22.5" customHeight="1">
      <c r="A1" s="45" t="s">
        <v>0</v>
      </c>
      <c r="B1" s="46"/>
      <c r="C1" s="46"/>
      <c r="D1" s="46"/>
      <c r="E1" s="47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s="17"/>
      <c r="R1" s="17"/>
    </row>
    <row r="2" spans="1:18">
      <c r="A2" s="3" t="s">
        <v>1</v>
      </c>
      <c r="B2" s="4" t="s">
        <v>10</v>
      </c>
      <c r="C2" s="4" t="s">
        <v>11</v>
      </c>
      <c r="D2" s="5" t="s">
        <v>12</v>
      </c>
      <c r="E2" s="4" t="s">
        <v>13</v>
      </c>
    </row>
    <row r="3" spans="1:18" ht="39.75" customHeight="1">
      <c r="A3" s="6" t="s">
        <v>4</v>
      </c>
      <c r="B3" s="6">
        <v>200</v>
      </c>
      <c r="C3" s="6">
        <f>_xlfn.XLOOKUP(A3,Emission_Factors!A:A,Emission_Factors!B:B)</f>
        <v>91.1</v>
      </c>
      <c r="D3" s="7">
        <f>B3*C3</f>
        <v>18220</v>
      </c>
      <c r="E3" s="18">
        <f>D3/D6*100</f>
        <v>39.067274189225408</v>
      </c>
    </row>
    <row r="4" spans="1:18" ht="38.25" customHeight="1">
      <c r="A4" s="6" t="s">
        <v>6</v>
      </c>
      <c r="B4" s="6">
        <v>30</v>
      </c>
      <c r="C4" s="6">
        <f>_xlfn.XLOOKUP(A4,Emission_Factors!A:A,Emission_Factors!B:B)</f>
        <v>854</v>
      </c>
      <c r="D4" s="7">
        <f>B4*C4</f>
        <v>25620</v>
      </c>
      <c r="E4" s="18">
        <f>D4/D6*100</f>
        <v>54.934333958724203</v>
      </c>
    </row>
    <row r="5" spans="1:18" ht="36.75" customHeight="1">
      <c r="A5" s="42" t="s">
        <v>8</v>
      </c>
      <c r="B5" s="42">
        <v>25</v>
      </c>
      <c r="C5" s="42">
        <f>_xlfn.XLOOKUP(A5,Emission_Factors!A:A,Emission_Factors!B:B)</f>
        <v>111.9</v>
      </c>
      <c r="D5" s="43">
        <f>B5*C5</f>
        <v>2797.5</v>
      </c>
      <c r="E5" s="44">
        <f>D5/D6*100</f>
        <v>5.9983918520503892</v>
      </c>
    </row>
    <row r="6" spans="1:18" ht="25.5" customHeight="1">
      <c r="A6" s="8" t="s">
        <v>14</v>
      </c>
      <c r="B6" s="8">
        <f>SUM(B3:B5)</f>
        <v>255</v>
      </c>
      <c r="C6" s="19" t="s">
        <v>15</v>
      </c>
      <c r="D6" s="20">
        <f>SUM(D3:D5)</f>
        <v>46637.5</v>
      </c>
      <c r="E6" s="21">
        <v>1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selection activeCell="C15" sqref="C15"/>
    </sheetView>
  </sheetViews>
  <sheetFormatPr defaultColWidth="9" defaultRowHeight="15"/>
  <cols>
    <col min="1" max="1" width="23.42578125" customWidth="1"/>
    <col min="2" max="2" width="46.42578125" customWidth="1"/>
    <col min="3" max="3" width="40.42578125" customWidth="1"/>
    <col min="4" max="4" width="59.42578125" customWidth="1"/>
    <col min="5" max="5" width="11.42578125" customWidth="1"/>
  </cols>
  <sheetData>
    <row r="1" spans="1:5" ht="39" customHeight="1">
      <c r="A1" s="49" t="s">
        <v>16</v>
      </c>
      <c r="B1" s="46"/>
      <c r="C1" s="46"/>
      <c r="D1" s="47"/>
    </row>
    <row r="2" spans="1:5">
      <c r="A2" s="3" t="s">
        <v>1</v>
      </c>
      <c r="B2" s="4" t="s">
        <v>10</v>
      </c>
      <c r="C2" s="4" t="s">
        <v>11</v>
      </c>
      <c r="D2" s="5" t="s">
        <v>12</v>
      </c>
    </row>
    <row r="3" spans="1:5">
      <c r="A3" s="6" t="s">
        <v>4</v>
      </c>
      <c r="B3" s="6">
        <v>200</v>
      </c>
      <c r="C3" s="6">
        <f>_xlfn.XLOOKUP(A3,Emission_Factors!A:A,Emission_Factors!B:B)</f>
        <v>91.1</v>
      </c>
      <c r="D3" s="7">
        <f>B3*C3</f>
        <v>18220</v>
      </c>
    </row>
    <row r="4" spans="1:5">
      <c r="A4" s="6" t="s">
        <v>6</v>
      </c>
      <c r="B4" s="6">
        <v>30</v>
      </c>
      <c r="C4" s="6">
        <f>_xlfn.XLOOKUP(A4,Emission_Factors!A:A,Emission_Factors!B:B)</f>
        <v>854</v>
      </c>
      <c r="D4" s="7">
        <f>B4*C4</f>
        <v>25620</v>
      </c>
    </row>
    <row r="5" spans="1:5">
      <c r="A5" s="42" t="s">
        <v>8</v>
      </c>
      <c r="B5" s="42">
        <v>25</v>
      </c>
      <c r="C5" s="42">
        <f>_xlfn.XLOOKUP(A5,Emission_Factors!A:A,Emission_Factors!B:B)</f>
        <v>111.9</v>
      </c>
      <c r="D5" s="43">
        <f>B5*C5</f>
        <v>2797.5</v>
      </c>
    </row>
    <row r="6" spans="1:5">
      <c r="A6" s="8" t="s">
        <v>14</v>
      </c>
      <c r="B6" s="8">
        <f>SUM(B3:B5)</f>
        <v>255</v>
      </c>
      <c r="C6" s="8" t="s">
        <v>15</v>
      </c>
      <c r="D6" s="9">
        <f>SUM(D3:D5)</f>
        <v>46637.5</v>
      </c>
    </row>
    <row r="9" spans="1:5" ht="24" customHeight="1">
      <c r="A9" s="59" t="s">
        <v>17</v>
      </c>
      <c r="B9" s="60" t="s">
        <v>18</v>
      </c>
      <c r="C9" s="60" t="s">
        <v>12</v>
      </c>
      <c r="D9" s="60" t="s">
        <v>19</v>
      </c>
      <c r="E9" s="61" t="s">
        <v>20</v>
      </c>
    </row>
    <row r="10" spans="1:5" ht="43.5" customHeight="1">
      <c r="A10" s="50" t="s">
        <v>21</v>
      </c>
      <c r="B10" s="10" t="s">
        <v>22</v>
      </c>
      <c r="C10" s="11">
        <v>46637.5</v>
      </c>
      <c r="D10" s="12" t="s">
        <v>15</v>
      </c>
      <c r="E10" s="52" t="s">
        <v>15</v>
      </c>
    </row>
    <row r="11" spans="1:5" ht="39" customHeight="1">
      <c r="A11" s="51" t="s">
        <v>23</v>
      </c>
      <c r="B11" s="13" t="s">
        <v>24</v>
      </c>
      <c r="C11" s="14">
        <v>39216.5</v>
      </c>
      <c r="D11" s="14">
        <v>7421</v>
      </c>
      <c r="E11" s="53">
        <v>0.15909999999999999</v>
      </c>
    </row>
    <row r="12" spans="1:5" ht="42" customHeight="1">
      <c r="A12" s="54" t="s">
        <v>25</v>
      </c>
      <c r="B12" s="55" t="s">
        <v>26</v>
      </c>
      <c r="C12" s="56">
        <v>33827.5</v>
      </c>
      <c r="D12" s="57">
        <v>12810</v>
      </c>
      <c r="E12" s="58">
        <v>0.2747</v>
      </c>
    </row>
    <row r="16" spans="1:5">
      <c r="B16" s="15"/>
    </row>
  </sheetData>
  <mergeCells count="1">
    <mergeCell ref="A1:D1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tabSelected="1" workbookViewId="0">
      <selection activeCell="S8" sqref="S8"/>
    </sheetView>
  </sheetViews>
  <sheetFormatPr defaultColWidth="9" defaultRowHeight="15"/>
  <cols>
    <col min="1" max="1" width="11.28515625" bestFit="1" customWidth="1"/>
    <col min="2" max="2" width="21" bestFit="1" customWidth="1"/>
    <col min="5" max="5" width="9.140625" customWidth="1"/>
    <col min="14" max="14" width="0.42578125" customWidth="1"/>
    <col min="15" max="15" width="9.140625" hidden="1" customWidth="1"/>
  </cols>
  <sheetData>
    <row r="1" spans="1:15" ht="38.25" customHeight="1">
      <c r="A1" s="34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</row>
    <row r="2" spans="1:15" ht="15.75" customHeight="1" thickBot="1"/>
    <row r="3" spans="1:15" ht="15.75" customHeight="1" thickBot="1">
      <c r="A3" s="24" t="s">
        <v>1</v>
      </c>
      <c r="B3" s="1" t="s">
        <v>27</v>
      </c>
    </row>
    <row r="4" spans="1:15">
      <c r="A4" s="28" t="s">
        <v>8</v>
      </c>
      <c r="B4" s="25">
        <v>2797.5</v>
      </c>
    </row>
    <row r="5" spans="1:15">
      <c r="A5" s="29" t="s">
        <v>4</v>
      </c>
      <c r="B5" s="26">
        <v>18220</v>
      </c>
    </row>
    <row r="6" spans="1:15" ht="15.75" customHeight="1" thickBot="1">
      <c r="A6" s="30" t="s">
        <v>6</v>
      </c>
      <c r="B6" s="26">
        <v>25620</v>
      </c>
    </row>
    <row r="7" spans="1:15" ht="15.75" customHeight="1" thickBot="1">
      <c r="A7" s="31" t="s">
        <v>28</v>
      </c>
      <c r="B7" s="27">
        <v>46637.5</v>
      </c>
    </row>
    <row r="9" spans="1:15">
      <c r="F9" s="2"/>
    </row>
    <row r="10" spans="1:15">
      <c r="F10" s="2"/>
    </row>
    <row r="11" spans="1:15">
      <c r="F11" s="2"/>
    </row>
    <row r="12" spans="1:15">
      <c r="F12" s="2"/>
    </row>
    <row r="13" spans="1:15">
      <c r="F13" s="2"/>
    </row>
  </sheetData>
  <mergeCells count="1">
    <mergeCell ref="A1:O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A22" sqref="A22"/>
    </sheetView>
  </sheetViews>
  <sheetFormatPr defaultColWidth="9" defaultRowHeight="15"/>
  <cols>
    <col min="1" max="1" width="31.140625" customWidth="1"/>
    <col min="2" max="2" width="30.28515625" customWidth="1"/>
    <col min="3" max="3" width="49.42578125" customWidth="1"/>
    <col min="4" max="4" width="81" customWidth="1"/>
  </cols>
  <sheetData>
    <row r="1" spans="1:4" ht="25.5" customHeight="1">
      <c r="A1" s="37" t="s">
        <v>16</v>
      </c>
      <c r="B1" s="32"/>
      <c r="C1" s="32"/>
      <c r="D1" s="33"/>
    </row>
    <row r="3" spans="1:4">
      <c r="A3" s="38" t="s">
        <v>29</v>
      </c>
      <c r="B3" s="39"/>
      <c r="C3" s="39"/>
      <c r="D3" s="39"/>
    </row>
    <row r="4" spans="1:4">
      <c r="A4" s="41" t="s">
        <v>30</v>
      </c>
      <c r="B4" s="39"/>
      <c r="C4" s="39"/>
      <c r="D4" s="39"/>
    </row>
    <row r="5" spans="1:4">
      <c r="A5" s="38" t="s">
        <v>31</v>
      </c>
      <c r="B5" s="39"/>
      <c r="C5" s="39"/>
      <c r="D5" s="39"/>
    </row>
    <row r="6" spans="1:4">
      <c r="A6" s="40" t="s">
        <v>32</v>
      </c>
      <c r="B6" s="39"/>
      <c r="C6" s="39"/>
      <c r="D6" s="39"/>
    </row>
    <row r="7" spans="1:4">
      <c r="A7" s="35" t="s">
        <v>33</v>
      </c>
      <c r="B7" s="36"/>
      <c r="C7" s="36"/>
      <c r="D7" s="36"/>
    </row>
  </sheetData>
  <mergeCells count="6">
    <mergeCell ref="A7:D7"/>
    <mergeCell ref="A1:D1"/>
    <mergeCell ref="A5:D5"/>
    <mergeCell ref="A6:D6"/>
    <mergeCell ref="A4:D4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Emission_Factors</vt:lpstr>
      <vt:lpstr>Carbon_Calculation</vt:lpstr>
      <vt:lpstr>What_If</vt:lpstr>
      <vt:lpstr>Materials_Rank</vt:lpstr>
      <vt:lpstr>About_This_Tool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ancy antony</dc:creator>
  <cp:keywords/>
  <dc:description/>
  <cp:lastModifiedBy>ancy antony</cp:lastModifiedBy>
  <cp:revision/>
  <dcterms:created xsi:type="dcterms:W3CDTF">2026-06-22T11:03:00Z</dcterms:created>
  <dcterms:modified xsi:type="dcterms:W3CDTF">2026-09-03T11:33:11Z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A34F1CC0DF0445F18624E0FE615B85BA_12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